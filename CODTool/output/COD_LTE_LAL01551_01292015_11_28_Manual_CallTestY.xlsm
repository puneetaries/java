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690" windowWidth="19755" windowHeight="9675"/>
  </bookViews>
  <sheets>
    <sheet name="COD_REV_J" sheetId="1" r:id="rId1"/>
    <sheet name="Summary" sheetId="2" r:id="rId2"/>
  </sheets>
  <calcPr calcId="145621"/>
</workbook>
</file>

<file path=xl/calcChain.xml><?xml version="1.0" encoding="utf-8"?>
<calcChain xmlns="http://schemas.openxmlformats.org/spreadsheetml/2006/main">
  <c r="B15" i="1" l="1"/>
  <c r="B877" i="1" l="1"/>
  <c r="B875" i="1"/>
</calcChain>
</file>

<file path=xl/sharedStrings.xml><?xml version="1.0" encoding="utf-8"?>
<sst xmlns="http://schemas.openxmlformats.org/spreadsheetml/2006/main" count="157" uniqueCount="136">
  <si>
    <t xml:space="preserve">                                                                       </t>
  </si>
  <si>
    <t>North East</t>
  </si>
  <si>
    <t>PHILADELPHIA</t>
  </si>
  <si>
    <t>ASP/FE Full name:      </t>
  </si>
  <si>
    <t>ASP/FE Phone No.</t>
  </si>
  <si>
    <t>RNC ID :</t>
  </si>
  <si>
    <t>Successful</t>
  </si>
  <si>
    <t>Is the site Alarm free ? (Yes/No)</t>
  </si>
  <si>
    <t>Yes</t>
  </si>
  <si>
    <t>Has RET been installed and defined and enabled ? (Yes/No/NA)</t>
  </si>
  <si>
    <t>Has TMA been installed and defined and enabled ? (Yes/No/NA)</t>
  </si>
  <si>
    <t>Has Max Total Output power set as per the configuration ? (Yes/No/NA)</t>
  </si>
  <si>
    <t>LOCKED-DISABLED-RESERVED</t>
  </si>
  <si>
    <t>UNLOCKED-ENABLED-NOT RESERVED</t>
  </si>
  <si>
    <t>Is Site up and carrying traffic (With All relations loaded)? (Yes/No/NA)</t>
  </si>
  <si>
    <t>No</t>
  </si>
  <si>
    <t>NA</t>
  </si>
  <si>
    <t>Region</t>
  </si>
  <si>
    <t>Market</t>
  </si>
  <si>
    <t>CENTRAL PA</t>
  </si>
  <si>
    <t>CONNECTICUT</t>
  </si>
  <si>
    <t>LONG ISLAND</t>
  </si>
  <si>
    <t>NEW ENGLAND</t>
  </si>
  <si>
    <t>NEW JERSEY</t>
  </si>
  <si>
    <t>NEW YORK</t>
  </si>
  <si>
    <t>UPSTATE NY</t>
  </si>
  <si>
    <t>VIRGINIA</t>
  </si>
  <si>
    <t>WASHINGTON DC</t>
  </si>
  <si>
    <t>South East</t>
  </si>
  <si>
    <t>CAROLINA</t>
  </si>
  <si>
    <t>South West</t>
  </si>
  <si>
    <t>HAWAII</t>
  </si>
  <si>
    <t>LAS VEGAS</t>
  </si>
  <si>
    <t>LOS ANGELES</t>
  </si>
  <si>
    <t>SACRAMENTO</t>
  </si>
  <si>
    <t>SALT LAKE CITY</t>
  </si>
  <si>
    <t>SAN DIEGO</t>
  </si>
  <si>
    <t>SAN FRANCISCO</t>
  </si>
  <si>
    <t>West</t>
  </si>
  <si>
    <t>ALBUQUERQUE</t>
  </si>
  <si>
    <t>EL PASO</t>
  </si>
  <si>
    <t>LA NORTH</t>
  </si>
  <si>
    <t>SOUTHERN CALIFORNIA</t>
  </si>
  <si>
    <t>Integration Status - COD Checklist Verified</t>
  </si>
  <si>
    <t>FOR GSM</t>
  </si>
  <si>
    <t>Cancelled</t>
  </si>
  <si>
    <t>FOR PCS</t>
  </si>
  <si>
    <t>No Scheduled Activity</t>
  </si>
  <si>
    <t>FOR AWS</t>
  </si>
  <si>
    <t>Outage</t>
  </si>
  <si>
    <t>UnSuccessful</t>
  </si>
  <si>
    <t>For ASP Phone Number</t>
  </si>
  <si>
    <t>These are for Questions</t>
  </si>
  <si>
    <t>These are for Alarms</t>
  </si>
  <si>
    <t>These are for Status of AWS and PCS</t>
  </si>
  <si>
    <t>LOCKED-ENABLED-RESERVED</t>
  </si>
  <si>
    <t>UNLOCKED-ENABLED-RESERVED</t>
  </si>
  <si>
    <t>LOCKED-ENABLED-NOT RESERVED</t>
  </si>
  <si>
    <t>UNLOCKED-DISABLED-RESERVED</t>
  </si>
  <si>
    <t>LOCKED-DISABLED-NOT RESERVED</t>
  </si>
  <si>
    <t>UNLOCKED-DISABLED-NOT RESERVED</t>
  </si>
  <si>
    <t>These are designed to take care of OTHER</t>
  </si>
  <si>
    <t>NODEB / ENODEB ID:</t>
  </si>
  <si>
    <t>MARKET:</t>
  </si>
  <si>
    <t>SOW</t>
  </si>
  <si>
    <t>PTN #:</t>
  </si>
  <si>
    <t>TECHNOLOGY :</t>
  </si>
  <si>
    <t>NIC Integrator :</t>
  </si>
  <si>
    <t>New Carrier :</t>
  </si>
  <si>
    <t>OSS :</t>
  </si>
  <si>
    <t>Site has been successfully call tested on antennas?  (Yes/No)</t>
  </si>
  <si>
    <t>CELL STATUS</t>
  </si>
  <si>
    <t>RSSI</t>
  </si>
  <si>
    <t>VSWR</t>
  </si>
  <si>
    <t>Alarm Free</t>
  </si>
  <si>
    <t>Cell Status</t>
  </si>
  <si>
    <t>Reserved/unreserved</t>
  </si>
  <si>
    <t>Call Tested?</t>
  </si>
  <si>
    <t>RET</t>
  </si>
  <si>
    <t>TMA</t>
  </si>
  <si>
    <t>ALARMS</t>
  </si>
  <si>
    <t>WCDMA:</t>
  </si>
  <si>
    <t>LTE:</t>
  </si>
  <si>
    <t>Date ( mm-dd-yyyy ) :</t>
  </si>
  <si>
    <t>Notes: (Notes regarding cell status can be entered here…)</t>
  </si>
  <si>
    <t>Notes: (notes regarding RSSI can be entered here…)</t>
  </si>
  <si>
    <t>Notes: (notes regarding VSWR can be entered here…)</t>
  </si>
  <si>
    <t>Notes: (notes regarding RETs can be entered here…)</t>
  </si>
  <si>
    <t>Notes: (notes regarding TMAs can be entered here…)</t>
  </si>
  <si>
    <t>Post Check Status &amp; Printouts</t>
  </si>
  <si>
    <t>ATT NIC COD Sign Off Form</t>
  </si>
  <si>
    <t>UTRANCELL/EUTRANCELLS of new Carrier (Non live cells ONLY)</t>
  </si>
  <si>
    <t>RELATIONS</t>
  </si>
  <si>
    <t>WCDMA (in RNC)</t>
  </si>
  <si>
    <t>Notes: (notes regarding Neighbor Relations can be entered here…)</t>
  </si>
  <si>
    <t>MISC</t>
  </si>
  <si>
    <t>Notes: (notes can be entered here…)</t>
  </si>
  <si>
    <t>Did FE complete 911 call tests?</t>
  </si>
  <si>
    <t>Did FE confirm NEA testing was complete (Y/N)</t>
  </si>
  <si>
    <t>Has Site been successfully call tested on ALL Sectors? (on antennas)</t>
  </si>
  <si>
    <t>printout of administrativeState, cellBarred,operationalState &amp; primaryPlmnReserved status</t>
  </si>
  <si>
    <t>printout of state &amp; cellreserved status in RNC</t>
  </si>
  <si>
    <t>Alarm printout in both RBS and RNC (for 3g)</t>
  </si>
  <si>
    <t xml:space="preserve">LTE/WCDMA:   </t>
  </si>
  <si>
    <t>Printout of RSSI values for latestest ROP</t>
  </si>
  <si>
    <t>LTE / WCDMA</t>
  </si>
  <si>
    <t>Current printout of VSWR readings</t>
  </si>
  <si>
    <t>printout of TMA's</t>
  </si>
  <si>
    <t>Printout of RET's</t>
  </si>
  <si>
    <t>Printout of neighbor relations for the site (in RNC)</t>
  </si>
  <si>
    <r>
      <t xml:space="preserve">Notes: (notes regarding alarms can be entered here.)  </t>
    </r>
    <r>
      <rPr>
        <sz val="10"/>
        <color rgb="FFFF0000"/>
        <rFont val="Arial"/>
        <family val="2"/>
      </rPr>
      <t>If ANY alarms are pre-existing please note them here</t>
    </r>
  </si>
  <si>
    <t/>
  </si>
  <si>
    <t>EAMS Activity ID</t>
  </si>
  <si>
    <t>Implementation Manger</t>
  </si>
  <si>
    <t>LAL01551</t>
  </si>
  <si>
    <t>LTE</t>
  </si>
  <si>
    <t>LA</t>
  </si>
  <si>
    <t>WR-LTE-CON1E2</t>
  </si>
  <si>
    <t>2</t>
  </si>
  <si>
    <t>LAL01551_2A_1</t>
  </si>
  <si>
    <t>01092015_14_28</t>
  </si>
  <si>
    <t>eivopez</t>
  </si>
  <si>
    <t>0000</t>
  </si>
  <si>
    <t>YES</t>
  </si>
  <si>
    <t>test</t>
  </si>
  <si>
    <t>nsb</t>
  </si>
  <si>
    <t>NEW VALUE1</t>
  </si>
  <si>
    <t>NEW VALUE2</t>
  </si>
  <si>
    <t xml:space="preserve">
MO                          administrativeState cellBarred     operationalState primaryPlmnReserved
=================================================================================================================
EUtranCellFDD=LAL01551_2A_1 0 (LOCKED)          0 (BARRED)     0 (DISABLED)     true               
EUtranCellFDD=LAL01551_2B_1 0 (LOCKED)          0 (BARRED)     0 (DISABLED)     true               
EUtranCellFDD=LAL01551_2C_1 0 (LOCKED)          0 (BARRED)     0 (DISABLED)     true               
EUtranCellFDD=LAL01551_7A_1 1 (UNLOCKED)        1 (NOT_BARRED) 1 (ENABLED)      false              
EUtranCellFDD=LAL01551_7B_1 1 (UNLOCKED)        1 (NOT_BARRED) 1 (ENABLED)      false              
EUtranCellFDD=LAL01551_7C_1 1 (UNLOCKED)        1 (NOT_BARRED) 1 (ENABLED)      false              
=================================================================================================================
Total: 6 
</t>
  </si>
  <si>
    <t xml:space="preserve">
Starting to retrieve active alarms
Nr of active alarms are: 10
====================================================================================================================
Date &amp; Time (Local) S Specific Problem                    MO (Cause/AdditionalInfo)
====================================================================================================================
2015-01-08 11:18:11 C ExternalAlarm                       AuxPlugInUnit=RRU-1,DeviceGroup=ru,AlarmPort=1 (RBS LTE RRU SQUID DC SPD)
2015-01-08 11:19:42 m LinkFailure                         Subrack=1,Slot=1,PlugInUnit=1,RiPort=F (No signal detected, id 1, port 6, cascadeNo 0, ruPortNo 0)
2015-01-08 11:19:42 m LinkFailure                         Subrack=1,Slot=1,PlugInUnit=1,RiPort=E (No signal detected, id 1, port 5, cascadeNo 0, ruPortNo 0)
2015-01-08 11:19:42 m LinkFailure                         Subrack=1,Slot=1,PlugInUnit=1,RiPort=D (No signal detected, id 1, port 4, cascadeNo 0, ruPortNo 0)
2015-01-08 11:30:31 M CurrentTooHigh                      AuxPlugInUnit=RRU-1,DeviceGroup=ru,RfPort=B (Power overload on ports A and B)
2015-01-08 11:30:31 M CurrentTooHigh                      AuxPlugInUnit=RRU-1,DeviceGroup=ru,RfPort=A (Power overload on ports A and B)
2015-01-08 11:30:38 M CurrentTooHigh                      AuxPlugInUnit=RRU-2,DeviceGroup=ru,RfPort=B (Power overload on ports A and B)
2015-01-08 11:30:38 M CurrentTooHigh                      AuxPlugInUnit=RRU-2,DeviceGroup=ru,RfPort=A (Power overload on ports A and B)
2015-01-08 11:30:45 M CurrentTooHigh                      AuxPlugInUnit=RRU-3,DeviceGroup=ru,RfPort=B (Power overload on ports A and B)
2015-01-08 11:30:45 M CurrentTooHigh                      AuxPlugInUnit=RRU-3,DeviceGroup=ru,RfPort=A (Power overload on ports A and B)</t>
  </si>
  <si>
    <t xml:space="preserve">'
Report from 2015-01-09 19:15 UTC to 2015-01-09 20:14 UTC (4 ropfiles)
Node SW: CXP102051/19_R35EH (L13B)
Start Time: 2015-01-09 19:15:00 End Time: 2015-01-09 20:00:00
 Counter                                                     LAL01551_2A_1 LAL01551_2B_1 LAL01551_2C_1 LAL01551_7A_1 LAL01551_7B_1 LAL01551_7C_1
 Int_RadioRecInterferencePucchPwr                                        0             0             0        -117.0        -116.6        -119.2
 Int_RadioRecInterferencePwr                                             0             0             0        -116.7        -115.2        -118.8
?[1;32mLAL01551?[0m
</t>
  </si>
  <si>
    <t xml:space="preserve">
$ lhsh 000100/BXP_0_1 fui get vswr 1
0001BXP_0_1: vswr:  22.9[dB]
=============================================================================================
$ lhsh 000100/BXP_1_1 fui get vswr 1
0001BXP_1_1: vswr:  17.4[dB]
=============================================================================================
$ lhsh 000100/BXP_2_1 fui get vswr 1
0001BXP_2_1: vswr:  21.2[dB]
$ 
?[1;32mLAL01551?[0m
$ lhsh 000100/BXP_0_1 fui get vswr 2
0001BXP_0_1: vswr:  25.2[dB]
=============================================================================================
$ lhsh 000100/BXP_1_1 fui get vswr 2
0001BXP_1_1: vswr:  18.3[dB]
=============================================================================================
$ lhsh 000100/BXP_2_1 fui get vswr 2
0001BXP_2_1: vswr:  22.1[dB]
$ 
?[1;32mLAL01551?[0m
</t>
  </si>
  <si>
    <t xml:space="preserve">
Proxy  Adm State     Op. State     MO
===================================================================================
  355                0 (DISABLED)  Equipment=1,AntennaUnitGroup=1,AntennaNearUnit=1,RetSubUnit=1
  357                0 (DISABLED)  Equipment=1,AntennaUnitGroup=1,AntennaNearUnit=2,RetSubUnit=1
  376                0 (DISABLED)  Equipment=1,AntennaUnitGroup=2,AntennaNearUnit=1,RetSubUnit=1
  378                0 (DISABLED)  Equipment=1,AntennaUnitGroup=2,AntennaNearUnit=2,RetSubUnit=1
  397                0 (DISABLED)  Equipment=1,AntennaUnitGroup=3,AntennaNearUnit=1,RetSubUnit=1
  399                0 (DISABLED)  Equipment=1,AntennaUnitGroup=3,AntennaNearUnit=2,RetSubUnit=1
===================================================================================
Total: 6 
MO                                                iuantBaseStationId userLabel
=================================================================================================================
AntennaUnitGroup=1,AntennaNearUnit=1,RetSubUnit=1                             
AntennaUnitGroup=1,AntennaNearUnit=2,RetSubUnit=1                             
AntennaUnitGroup=2,AntennaNearUnit=1,RetSubUnit=1                             
AntennaUnitGroup=2,AntennaNearUnit=2,RetSubUnit=1                             
AntennaUnitGroup=3,AntennaNearUnit=1,RetSubUnit=1                             
AntennaUnitGroup=3,AntennaNearUnit=2,RetSubUnit=1                             
=================================================================================================================
Total: 6 
</t>
  </si>
  <si>
    <t xml:space="preserve">
Proxy  Adm State     Op. State     MO
===================================================================================
===================================================================================
Total: 0 
</t>
  </si>
  <si>
    <t>Not Applied For LTE</t>
  </si>
  <si>
    <t xml:space="preserve">
MO              reservedBy                       
=================================================================================================================
SectorCarrier=1 [1] = EUtranCellFDD=LAL01551_7A_1
SectorCarrier=2 [1] = EUtranCellFDD=LAL01551_7B_1
SectorCarrier=3 [1] = EUtranCellFDD=LAL01551_7C_1
SectorCarrier=4 [1] = EUtranCellFDD=LAL01551_2A_1
SectorCarrier=5 [1] = EUtranCellFDD=LAL01551_2B_1
SectorCarrier=6 [1] = EUtranCellFDD=LAL01551_2C_1
=================================================================================================================
Total: 6 
SMN APN  BOARD    FAULT  OPER   MAINT  STAT    PRODUCTNUMBER  REV    SERIAL     DATE     TEMP COREMGR
====================================================================================================================
  0   1  DUS4101  OFF    05HZ   OFF    OFF     KDU137624/1    R5A/A  D16B047566 20131114 41C  Active*
--------------------------------------------------------------------------------------------------------------------
================================================================
SMN  ProductNr           Rev   Name        Date      SerialNr
================================================================
  0  ROJ999999           *     BACKPLANE             
----------------------------------------------------------------
==============================================================================================================================
SMN APN PORT     BOARD            FAULT  OPER   MAINT  PRODUCT NR   REV    SERIAL       DATE     TEMP  AuxPIU  Cells
==============================================================================================================================
  0   1 BXP_0_1  RRUS11B12        OFF    ON     OFF    KRC161241/1  R2G/B  CB4H182203   20110331 17.9  RRU-1   LAL01551_7A_1
  0   1 BXP_1_1  RRUS11B12        OFF    ON     OFF    KRC161241/1  R3B    CF81566486   20131114 13.3  RRU-2   LAL01551_7B_1
  0   1 BXP_2_1  RRUS11B12        OFF    ON     OFF    KRC161241/1  R3B    CF81566443   20131114 10.8  RRU-3   LAL01551_7C_1
------------------------------------------------------------------------------------------------------------------------------
====================================================================================================================
SMN APN PORT     BOARD      AuxPIU   TX1(W/dBm)  TX2(W/dBm)  VSWR1 (RL1) VSWR2 (RL2)  Cells (cellId,PCI)
====================================================================================================================
  0   1 BXP_0_1  RRUS11B12  RRU-1   22.5 (43.5) 20.3 (43.1)  1.14 (23.7) 1.12 (25.2)  LAL01551_7A_1 (15,414)
  0   1 BXP_1_1  RRUS11B12  RRU-2    3.0 (34.8) 13.6 (41.3)  1.32 (17.1) 1.28 (18.3)  LAL01551_7B_1 (16,415)
  0   1 BXP_2_1  RRUS11B12  RRU-3    3.2 (35.0)  4.4 (36.5)  1.20 (20.7) 1.18 (21.7)  LAL01551_7C_1 (17,416)
--------------------------------------------------------------------------------------------------------------------
?[1;32mLAL01551?[0m
MO              noOfRxAntennas noOfTxAntennas noOfUsedRxAntennas noOfUsedTxAntennas
=================================================================================================================
SectorCarrier=1 2              2              2                  2                 
SectorCarrier=2 2              2              2                  2                 
SectorCarrier=3 2              2              2                  2                 
SectorCarrier=4 4              2              -1                 -1                
SectorCarrier=5 4              2              -1                 -1                
SectorCarrier=6 4              2              -1                 -1                
=================================================================================================================
Total: 6 
MO              maximumTransmissionPower partOfSectorPower
=================================================================================================================
SectorCarrier=1 475                      100              
SectorCarrier=2 475                      100              
SectorCarrier=3 475                      100              
SectorCarrier=4 -1                       100              
SectorCarrier=5 -1                       100              
SectorCarrier=6 -1                       100              
=================================================================================================================
Total: 6 
MO                        availableSectorPower configuredOutputPower
=================================================================================================================
SectorEquipmentFunction=1 60000                60000                
SectorEquipmentFunction=2 60000                60000                
SectorEquipmentFunction=3 60000                60000                
SectorEquipmentFunction=4 0                    60000                
SectorEquipmentFunction=5 0                    60000                
SectorEquipmentFunction=6 0                    60000                
=================================================================================================================
Total: 6 
MO                                  auPortRef                                                        reservedBy                     
=================================================================================================================
AntennaUnitGroup=1,RfBranch=1       [1] = AntennaUnitGroup=1,AntennaUnit=1,AntennaSubunit=1,AuPort=1 [1] = SectorEquipmentFunction=1
AntennaUnitGroup=1,RfBranch=2       [1] = AntennaUnitGroup=1,AntennaUnit=1,AntennaSubunit=1,AuPort=2 [1] = SectorEquipmentFunction=1
AntennaUnitGroup=1,RfBranch=3       [1] = AntennaUnitGroup=1,AntennaUnit=1,AntennaSubunit=2,AuPort=1 [1] = SectorEquipmentFunction=4
AntennaUnitGroup=1,RfBranch=4_NO_TX [1] = AntennaUnitGroup=1,AntennaUnit=1,AntennaSubunit=2,AuPort=2 [1] = SectorEquipmentFunction=4
AntennaUnitGroup=1,RfBranch=5       [1] = AntennaUnitGroup=1,AntennaUnit=1,AntennaSubunit=3,AuPort=1 [1] = SectorEquipmentFunction=4
AntennaUnitGroup=1,RfBranch=6_NO_TX [1] = AntennaUnitGroup=1,AntennaUnit=1,AntennaSubunit=3,AuPort=2 [1] = SectorEquipmentFunction=4
AntennaUnitGroup=2,RfBranch=1       [1] = AntennaUnitGroup=2,AntennaUnit=1,AntennaSubunit=1,AuPort=1 [1] = SectorEquipmentFunction=2
AntennaUnitGroup=2,RfBranch=2       [1] = AntennaUnitGroup=2,AntennaUnit=1,AntennaSubunit=1,AuPort=2 [1] = SectorEquipmentFunction=2
AntennaUnitGroup=2,RfBranch=3       [1] = AntennaUnitGroup=2,AntennaUnit=1,AntennaSubunit=2,AuPort=1 [1] = SectorEquipmentFunction=5
AntennaUnitGroup=2,RfBranch=4_NO_TX [1] = AntennaUnitGroup=2,AntennaUnit=1,AntennaSubunit=2,AuPort=2 [1] = SectorEquipmentFunction=5
AntennaUnitGroup=2,RfBranch=5       [1] = AntennaUnitGroup=2,AntennaUnit=1,AntennaSubunit=3,AuPort=1 [1] = SectorEquipmentFunction=5
AntennaUnitGroup=2,RfBranch=6_NO_TX [1] = AntennaUnitGroup=2,AntennaUnit=1,AntennaSubunit=3,AuPort=2 [1] = SectorEquipmentFunction=5
AntennaUnitGroup=3,RfBranch=1       [1] = AntennaUnitGroup=3,AntennaUnit=1,AntennaSubunit=1,AuPort=1 [1] = SectorEquipmentFunction=3
AntennaUnitGroup=3,RfBranch=2       [1] = AntennaUnitGroup=3,AntennaUnit=1,AntennaSubunit=1,AuPort=2 [1] = SectorEquipmentFunction=3
AntennaUnitGroup=3,RfBranch=3       [1] = AntennaUnitGroup=3,AntennaUnit=1,AntennaSubunit=2,AuPort=1 [1] = SectorEquipmentFunction=6
AntennaUnitGroup=3,RfBranch=4_NO_TX [1] = AntennaUnitGroup=3,AntennaUnit=1,AntennaSubunit=2,AuPort=2 [1] = SectorEquipmentFunction=6
AntennaUnitGroup=3,RfBranch=5       [1] = AntennaUnitGroup=3,AntennaUnit=1,AntennaSubunit=3,AuPort=1 [1] = SectorEquipmentFunction=6
AntennaUnitGroup=3,RfBranch=6_NO_TX [1] = AntennaUnitGroup=3,AntennaUnit=1,AntennaSubunit=3,AuPort=2 [1] = SectorEquipmentFunction=6
=================================================================================================================
Total: 18 
  PROXY  SCANNER-NAME                                                  STATE
================================================================================
     20  PREDEF.STATS                                                  ACTIVE
     48  USERDEF.National_PM_Standard_eNodeB_L13B_GS_13.20.Profile=11.Continuous=Y.STATS  ACTIVE
     49  PREDEF.10000.CELLTRACE                                        SUSPENDED
     50  PREDEF.10001.CELLTRACE                                        ACTIVE
     51  PREDEF.10002.CELLTRACE                                        SUSPENDED
     52  PREDEF.10003.CELLTRACE                                        SUSPENDED
     53  PREDEF.10004.CELLTRACE                                        SUSPENDED
     54  PREDEF.10005.CELLTRACE                                        ACTIVE
================================================================================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</si>
</sst>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4"/>
      <name val="Arial"/>
      <family val="2"/>
    </font>
    <font>
      <b/>
      <sz val="10"/>
      <color indexed="9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b/>
      <sz val="14"/>
      <name val="Tahoma"/>
      <family val="2"/>
    </font>
    <font>
      <sz val="10"/>
      <name val="Tahoma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u/>
      <sz val="14"/>
      <name val="Tahoma"/>
      <family val="2"/>
    </font>
    <font>
      <b/>
      <u/>
      <sz val="10"/>
      <name val="Tahoma"/>
      <family val="2"/>
    </font>
    <font>
      <b/>
      <u/>
      <sz val="10"/>
      <name val="Arial"/>
      <family val="2"/>
    </font>
    <font>
      <sz val="6"/>
      <name val="Courier New"/>
      <family val="3"/>
    </font>
    <font>
      <sz val="6"/>
      <name val="Forte"/>
      <family val="4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sz val="8"/>
      <name val="Tahoma"/>
      <family val="2"/>
    </font>
    <font>
      <sz val="6"/>
      <color theme="0" tint="-0.14999847407452621"/>
      <name val="Courier New"/>
      <family val="3"/>
    </font>
    <font>
      <sz val="7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</cellStyleXfs>
  <cellXfs count="74">
    <xf numFmtId="0" fontId="0" fillId="0" borderId="0" xfId="0"/>
    <xf numFmtId="0" fontId="13" fillId="4" borderId="4" xfId="1" applyFont="1" applyFill="1" applyBorder="1" applyAlignment="1" applyProtection="1">
      <alignment horizontal="left" vertical="top" wrapText="1"/>
    </xf>
    <xf numFmtId="0" fontId="12" fillId="6" borderId="6" xfId="1" applyFont="1" applyFill="1" applyBorder="1" applyAlignment="1" applyProtection="1">
      <alignment horizontal="left" vertical="top" wrapText="1"/>
    </xf>
    <xf numFmtId="0" fontId="4" fillId="12" borderId="11" xfId="1" applyFont="1" applyFill="1" applyBorder="1" applyAlignment="1" applyProtection="1">
      <alignment vertical="top" wrapText="1"/>
    </xf>
    <xf numFmtId="0" fontId="4" fillId="12" borderId="12" xfId="1" applyFont="1" applyFill="1" applyBorder="1" applyAlignment="1" applyProtection="1">
      <alignment vertical="top" wrapText="1"/>
    </xf>
    <xf numFmtId="0" fontId="6" fillId="0" borderId="17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 wrapText="1"/>
    </xf>
    <xf numFmtId="0" fontId="2" fillId="0" borderId="16" xfId="1" applyFont="1" applyFill="1" applyBorder="1" applyAlignment="1" applyProtection="1">
      <alignment horizontal="left" vertical="center"/>
      <protection locked="0"/>
    </xf>
    <xf numFmtId="0" fontId="2" fillId="2" borderId="0" xfId="1" applyFont="1" applyFill="1" applyProtection="1"/>
    <xf numFmtId="0" fontId="2" fillId="0" borderId="0" xfId="1" applyFont="1" applyProtection="1"/>
    <xf numFmtId="49" fontId="6" fillId="0" borderId="18" xfId="1" applyNumberFormat="1" applyFont="1" applyFill="1" applyBorder="1" applyAlignment="1" applyProtection="1">
      <alignment horizontal="center" vertical="center"/>
    </xf>
    <xf numFmtId="49" fontId="6" fillId="0" borderId="14" xfId="1" applyNumberFormat="1" applyFont="1" applyFill="1" applyBorder="1" applyAlignment="1" applyProtection="1">
      <alignment horizontal="center" vertical="center"/>
    </xf>
    <xf numFmtId="0" fontId="13" fillId="4" borderId="4" xfId="1" applyFont="1" applyFill="1" applyBorder="1" applyAlignment="1" applyProtection="1">
      <alignment horizontal="left" vertical="center" wrapText="1"/>
    </xf>
    <xf numFmtId="0" fontId="2" fillId="13" borderId="0" xfId="1" applyFont="1" applyFill="1" applyProtection="1"/>
    <xf numFmtId="0" fontId="2" fillId="4" borderId="4" xfId="1" applyFont="1" applyFill="1" applyBorder="1" applyProtection="1"/>
    <xf numFmtId="0" fontId="9" fillId="7" borderId="0" xfId="2" applyFont="1" applyFill="1" applyAlignment="1" applyProtection="1">
      <alignment wrapText="1"/>
    </xf>
    <xf numFmtId="0" fontId="1" fillId="0" borderId="0" xfId="3" applyProtection="1"/>
    <xf numFmtId="0" fontId="10" fillId="8" borderId="1" xfId="2" applyFont="1" applyFill="1" applyBorder="1" applyAlignment="1" applyProtection="1">
      <alignment wrapText="1"/>
    </xf>
    <xf numFmtId="0" fontId="11" fillId="9" borderId="1" xfId="1" applyFont="1" applyFill="1" applyBorder="1" applyProtection="1"/>
    <xf numFmtId="0" fontId="10" fillId="10" borderId="1" xfId="2" applyFont="1" applyFill="1" applyBorder="1" applyAlignment="1" applyProtection="1">
      <alignment wrapText="1"/>
    </xf>
    <xf numFmtId="0" fontId="10" fillId="11" borderId="1" xfId="2" applyFont="1" applyFill="1" applyBorder="1" applyAlignment="1" applyProtection="1">
      <alignment wrapText="1"/>
    </xf>
    <xf numFmtId="0" fontId="2" fillId="0" borderId="1" xfId="1" applyFont="1" applyBorder="1" applyProtection="1"/>
    <xf numFmtId="0" fontId="2" fillId="0" borderId="1" xfId="1" applyFont="1" applyBorder="1" applyAlignment="1" applyProtection="1">
      <alignment horizontal="right"/>
    </xf>
    <xf numFmtId="0" fontId="0" fillId="0" borderId="1" xfId="1" applyFont="1" applyBorder="1" applyProtection="1"/>
    <xf numFmtId="0" fontId="2" fillId="0" borderId="1" xfId="1" applyFont="1" applyBorder="1" applyAlignment="1" applyProtection="1">
      <alignment horizontal="center" vertical="center"/>
    </xf>
    <xf numFmtId="0" fontId="8" fillId="0" borderId="14" xfId="1" applyFont="1" applyFill="1" applyBorder="1" applyAlignment="1" applyProtection="1">
      <alignment horizontal="left" vertical="center"/>
      <protection locked="0"/>
    </xf>
    <xf numFmtId="0" fontId="8" fillId="0" borderId="14" xfId="1" applyFont="1" applyFill="1" applyBorder="1" applyAlignment="1" applyProtection="1">
      <alignment horizontal="left" vertical="center" wrapText="1"/>
      <protection locked="0"/>
    </xf>
    <xf numFmtId="14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4" xfId="1" applyFont="1" applyFill="1" applyBorder="1" applyProtection="1"/>
    <xf numFmtId="0" fontId="2" fillId="2" borderId="0" xfId="1" applyFont="1" applyFill="1" applyAlignment="1" applyProtection="1">
      <alignment horizontal="right"/>
    </xf>
    <xf numFmtId="0" fontId="12" fillId="6" borderId="4" xfId="1" applyFont="1" applyFill="1" applyBorder="1" applyAlignment="1" applyProtection="1">
      <alignment horizontal="left" vertical="top" wrapText="1"/>
    </xf>
    <xf numFmtId="0" fontId="7" fillId="5" borderId="15" xfId="1" applyFont="1" applyFill="1" applyBorder="1" applyAlignment="1" applyProtection="1">
      <alignment wrapText="1"/>
    </xf>
    <xf numFmtId="0" fontId="7" fillId="5" borderId="22" xfId="1" applyFont="1" applyFill="1" applyBorder="1" applyAlignment="1" applyProtection="1">
      <alignment wrapText="1"/>
    </xf>
    <xf numFmtId="0" fontId="19" fillId="0" borderId="14" xfId="1" applyFont="1" applyFill="1" applyBorder="1" applyAlignment="1" applyProtection="1">
      <alignment horizontal="left" vertical="top" wrapText="1"/>
      <protection locked="0"/>
    </xf>
    <xf numFmtId="0" fontId="5" fillId="6" borderId="13" xfId="1" applyFont="1" applyFill="1" applyBorder="1" applyAlignment="1" applyProtection="1">
      <alignment horizontal="center" vertical="center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21" xfId="1" applyFont="1" applyFill="1" applyBorder="1" applyAlignment="1" applyProtection="1">
      <alignment horizontal="center" vertical="center"/>
    </xf>
    <xf numFmtId="0" fontId="5" fillId="6" borderId="15" xfId="1" applyFont="1" applyFill="1" applyBorder="1" applyAlignment="1" applyProtection="1">
      <alignment horizontal="center" vertical="center"/>
    </xf>
    <xf numFmtId="0" fontId="18" fillId="6" borderId="17" xfId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>
      <alignment horizontal="center"/>
    </xf>
    <xf numFmtId="0" fontId="19" fillId="4" borderId="4" xfId="1" applyFont="1" applyFill="1" applyBorder="1" applyAlignment="1" applyProtection="1">
      <alignment horizontal="left" vertical="top" wrapText="1"/>
    </xf>
    <xf numFmtId="0" fontId="21" fillId="4" borderId="4" xfId="1" applyFont="1" applyFill="1" applyBorder="1" applyAlignment="1" applyProtection="1">
      <alignment horizontal="left" vertical="center" wrapText="1"/>
    </xf>
    <xf numFmtId="1" fontId="8" fillId="0" borderId="14" xfId="1" applyNumberFormat="1" applyFont="1" applyFill="1" applyBorder="1" applyAlignment="1" applyProtection="1">
      <alignment horizontal="left" vertical="center"/>
      <protection locked="0"/>
    </xf>
    <xf numFmtId="1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24" xfId="1" applyFont="1" applyFill="1" applyBorder="1" applyProtection="1"/>
    <xf numFmtId="0" fontId="2" fillId="4" borderId="24" xfId="1" applyFont="1" applyFill="1" applyBorder="1" applyProtection="1"/>
    <xf numFmtId="0" fontId="12" fillId="6" borderId="6" xfId="1" applyFont="1" applyFill="1" applyBorder="1" applyProtection="1"/>
    <xf numFmtId="0" fontId="12" fillId="6" borderId="23" xfId="1" applyFont="1" applyFill="1" applyBorder="1" applyProtection="1"/>
    <xf numFmtId="0" fontId="22" fillId="13" borderId="0" xfId="1" applyFont="1" applyFill="1" applyProtection="1">
      <protection locked="0"/>
    </xf>
    <xf numFmtId="0" fontId="5" fillId="6" borderId="9" xfId="1" applyFont="1" applyFill="1" applyBorder="1" applyAlignment="1" applyProtection="1">
      <alignment horizontal="center" vertical="center"/>
      <protection hidden="1"/>
    </xf>
    <xf numFmtId="0" fontId="24" fillId="0" borderId="25" xfId="1" applyFont="1" applyBorder="1" applyAlignment="1" applyProtection="1">
      <alignment wrapText="1"/>
      <protection locked="0"/>
    </xf>
    <xf numFmtId="0" fontId="24" fillId="0" borderId="5" xfId="1" applyFont="1" applyBorder="1" applyAlignment="1" applyProtection="1">
      <alignment horizontal="left" wrapText="1"/>
      <protection locked="0"/>
    </xf>
    <xf numFmtId="0" fontId="25" fillId="4" borderId="4" xfId="1" applyFont="1" applyFill="1" applyBorder="1" applyProtection="1"/>
    <xf numFmtId="0" fontId="25" fillId="4" borderId="24" xfId="1" applyFont="1" applyFill="1" applyBorder="1" applyProtection="1"/>
    <xf numFmtId="0" fontId="15" fillId="4" borderId="23" xfId="1" applyFont="1" applyFill="1" applyBorder="1" applyAlignment="1" applyProtection="1">
      <alignment horizontal="left" vertical="top" wrapText="1"/>
      <protection locked="0"/>
    </xf>
    <xf numFmtId="0" fontId="15" fillId="4" borderId="24" xfId="1" applyFont="1" applyFill="1" applyBorder="1" applyAlignment="1" applyProtection="1">
      <alignment horizontal="left" vertical="top" wrapText="1"/>
      <protection locked="0"/>
    </xf>
    <xf numFmtId="0" fontId="15" fillId="4" borderId="25" xfId="1" applyFont="1" applyFill="1" applyBorder="1" applyAlignment="1" applyProtection="1">
      <alignment horizontal="left" vertical="top" wrapText="1"/>
      <protection locked="0"/>
    </xf>
    <xf numFmtId="0" fontId="3" fillId="3" borderId="3" xfId="1" applyFont="1" applyFill="1" applyBorder="1" applyAlignment="1" applyProtection="1">
      <alignment horizontal="center"/>
    </xf>
    <xf numFmtId="0" fontId="3" fillId="3" borderId="8" xfId="1" applyFont="1" applyFill="1" applyBorder="1" applyAlignment="1" applyProtection="1">
      <alignment horizontal="center"/>
    </xf>
    <xf numFmtId="0" fontId="3" fillId="3" borderId="9" xfId="1" applyFont="1" applyFill="1" applyBorder="1" applyAlignment="1" applyProtection="1">
      <alignment horizontal="center"/>
    </xf>
    <xf numFmtId="0" fontId="3" fillId="3" borderId="10" xfId="1" applyFont="1" applyFill="1" applyBorder="1" applyAlignment="1" applyProtection="1">
      <alignment horizontal="center"/>
    </xf>
    <xf numFmtId="0" fontId="20" fillId="0" borderId="7" xfId="1" applyFont="1" applyFill="1" applyBorder="1" applyAlignment="1" applyProtection="1">
      <alignment horizontal="left" vertical="top" wrapText="1"/>
      <protection locked="0"/>
    </xf>
    <xf numFmtId="0" fontId="20" fillId="0" borderId="20" xfId="1" applyFont="1" applyFill="1" applyBorder="1" applyAlignment="1" applyProtection="1">
      <alignment horizontal="left" vertical="top" wrapText="1"/>
      <protection locked="0"/>
    </xf>
    <xf numFmtId="0" fontId="15" fillId="4" borderId="19" xfId="1" applyFont="1" applyFill="1" applyBorder="1" applyAlignment="1" applyProtection="1">
      <alignment horizontal="left" vertical="top" wrapText="1"/>
      <protection locked="0"/>
    </xf>
    <xf numFmtId="0" fontId="15" fillId="4" borderId="7" xfId="1" applyFont="1" applyFill="1" applyBorder="1" applyAlignment="1" applyProtection="1">
      <alignment horizontal="left" vertical="top" wrapText="1"/>
      <protection locked="0"/>
    </xf>
    <xf numFmtId="0" fontId="15" fillId="4" borderId="20" xfId="1" applyFont="1" applyFill="1" applyBorder="1" applyAlignment="1" applyProtection="1">
      <alignment horizontal="left" vertical="top" wrapText="1"/>
      <protection locked="0"/>
    </xf>
    <xf numFmtId="49" fontId="16" fillId="0" borderId="19" xfId="1" applyNumberFormat="1" applyFont="1" applyFill="1" applyBorder="1" applyAlignment="1" applyProtection="1">
      <alignment horizontal="left" vertical="top" wrapText="1"/>
      <protection locked="0"/>
    </xf>
    <xf numFmtId="49" fontId="16" fillId="0" borderId="7" xfId="1" applyNumberFormat="1" applyFont="1" applyFill="1" applyBorder="1" applyAlignment="1" applyProtection="1">
      <alignment horizontal="left" vertical="top" wrapText="1"/>
      <protection locked="0"/>
    </xf>
    <xf numFmtId="49" fontId="16" fillId="0" borderId="20" xfId="1" applyNumberFormat="1" applyFont="1" applyFill="1" applyBorder="1" applyAlignment="1" applyProtection="1">
      <alignment horizontal="left" vertical="top" wrapText="1"/>
      <protection locked="0"/>
    </xf>
    <xf numFmtId="0" fontId="15" fillId="0" borderId="19" xfId="1" applyFont="1" applyBorder="1" applyAlignment="1" applyProtection="1">
      <alignment horizontal="left" vertical="top" wrapText="1"/>
      <protection locked="0"/>
    </xf>
    <xf numFmtId="0" fontId="15" fillId="0" borderId="7" xfId="1" applyFont="1" applyBorder="1" applyAlignment="1" applyProtection="1">
      <alignment horizontal="left" vertical="top" wrapText="1"/>
      <protection locked="0"/>
    </xf>
    <xf numFmtId="0" fontId="15" fillId="0" borderId="20" xfId="1" applyFont="1" applyBorder="1" applyAlignment="1" applyProtection="1">
      <alignment horizontal="left" vertical="top" wrapText="1"/>
      <protection locked="0"/>
    </xf>
    <xf numFmtId="0" fontId="5" fillId="6" borderId="11" xfId="1" applyFont="1" applyFill="1" applyBorder="1" applyAlignment="1" applyProtection="1">
      <alignment horizontal="center" vertical="center"/>
    </xf>
  </cellXfs>
  <cellStyles count="5">
    <cellStyle name="%" xfId="1"/>
    <cellStyle name="% 2 2" xfId="2"/>
    <cellStyle name="% 4" xfId="4"/>
    <cellStyle name="Normal" xfId="0" builtinId="0"/>
    <cellStyle name="Normal 2" xf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theme" Target="theme/theme1.xml"/>
  <Relationship Id="rId4" Type="http://schemas.openxmlformats.org/officeDocument/2006/relationships/styles" Target="styles.xml"/>
  <Relationship Id="rId5" Type="http://schemas.openxmlformats.org/officeDocument/2006/relationships/sharedStrings" Target="sharedStrings.xml"/>
  <Relationship Id="rId6" Type="http://schemas.openxmlformats.org/officeDocument/2006/relationships/calcChain" Target="calcChain.xml"/>
  <Relationship Id="rId7" Type="http://schemas.microsoft.com/office/2006/relationships/vbaProject" Target="vbaProject.bin"/>
</Relationships>

</file>

<file path=xl/activeX/_rels/activeX1.xml.rels><?xml version="1.0" encoding="UTF-8"?>

<Relationships xmlns="http://schemas.openxmlformats.org/package/2006/relationships">
  <Relationship Id="rId1" Type="http://schemas.microsoft.com/office/2006/relationships/activeXControlBinary" Target="activeX1.bin"/>
</Relationships>

</file>

<file path=xl/activeX/_rels/activeX2.xml.rels><?xml version="1.0" encoding="UTF-8"?>

<Relationships xmlns="http://schemas.openxmlformats.org/package/2006/relationships">
  <Relationship Id="rId1" Type="http://schemas.microsoft.com/office/2006/relationships/activeXControlBinary" Target="activeX2.bin"/>
</Relationships>

</file>

<file path=xl/activeX/_rels/activeX3.xml.rels><?xml version="1.0" encoding="UTF-8"?>

<Relationships xmlns="http://schemas.openxmlformats.org/package/2006/relationships">
  <Relationship Id="rId1" Type="http://schemas.microsoft.com/office/2006/relationships/activeXControlBinary" Target="activeX3.bin"/>
</Relationships>

</file>

<file path=xl/activeX/_rels/activeX4.xml.rels><?xml version="1.0" encoding="UTF-8"?>

<Relationships xmlns="http://schemas.openxmlformats.org/package/2006/relationships">
  <Relationship Id="rId1" Type="http://schemas.microsoft.com/office/2006/relationships/activeXControlBinary" Target="activeX4.bin"/>
</Relationships>

</file>

<file path=xl/activeX/_rels/activeX5.xml.rels><?xml version="1.0" encoding="UTF-8"?>

<Relationships xmlns="http://schemas.openxmlformats.org/package/2006/relationships">
  <Relationship Id="rId1" Type="http://schemas.microsoft.com/office/2006/relationships/activeXControlBinary" Target="activeX5.bin"/>
</Relationships>

</file>

<file path=xl/activeX/_rels/activeX6.xml.rels><?xml version="1.0" encoding="UTF-8"?>

<Relationships xmlns="http://schemas.openxmlformats.org/package/2006/relationships">
  <Relationship Id="rId1" Type="http://schemas.microsoft.com/office/2006/relationships/activeXControlBinary" Target="activeX6.bin"/>
</Relationships>

</file>

<file path=xl/activeX/_rels/activeX7.xml.rels><?xml version="1.0" encoding="UTF-8"?>

<Relationships xmlns="http://schemas.openxmlformats.org/package/2006/relationships">
  <Relationship Id="rId1" Type="http://schemas.microsoft.com/office/2006/relationships/activeXControlBinary" Target="activeX7.bin"/>
</Relationships>

</file>

<file path=xl/activeX/_rels/activeX8.xml.rels><?xml version="1.0" encoding="UTF-8"?>

<Relationships xmlns="http://schemas.openxmlformats.org/package/2006/relationships">
  <Relationship Id="rId1" Type="http://schemas.microsoft.com/office/2006/relationships/activeXControlBinary" Target="activeX8.bin"/>
</Relationships>

</file>

<file path=xl/activeX/_rels/activeX9.xml.rels><?xml version="1.0" encoding="UTF-8"?>

<Relationships xmlns="http://schemas.openxmlformats.org/package/2006/relationships">
  <Relationship Id="rId1" Type="http://schemas.microsoft.com/office/2006/relationships/activeXControlBinary" Target="activeX9.bin"/>
</Relationships>

</file>

<file path=xl/activeX/_rels/activeX10.xml.rels><?xml version="1.0" encoding="UTF-8"?>

<Relationships xmlns="http://schemas.openxmlformats.org/package/2006/relationships">
  <Relationship Id="rId1" Type="http://schemas.microsoft.com/office/2006/relationships/activeXControlBinary" Target="activeX10.bin"/>
</Relationships>

</file>

<file path=xl/activeX/_rels/activeX11.xml.rels><?xml version="1.0" encoding="UTF-8"?>

<Relationships xmlns="http://schemas.openxmlformats.org/package/2006/relationships">
  <Relationship Id="rId1" Type="http://schemas.microsoft.com/office/2006/relationships/activeXControlBinary" Target="activeX11.bin"/>
</Relationships>

</file>

<file path=xl/activeX/_rels/activeX12.xml.rels><?xml version="1.0" encoding="UTF-8"?>

<Relationships xmlns="http://schemas.openxmlformats.org/package/2006/relationships">
  <Relationship Id="rId1" Type="http://schemas.microsoft.com/office/2006/relationships/activeXControlBinary" Target="activeX12.bin"/>
</Relationships>

</file>

<file path=xl/activeX/_rels/activeX13.xml.rels><?xml version="1.0" encoding="UTF-8"?>

<Relationships xmlns="http://schemas.openxmlformats.org/package/2006/relationships">
  <Relationship Id="rId1" Type="http://schemas.microsoft.com/office/2006/relationships/activeXControlBinary" Target="activeX13.bin"/>
</Relationships>

</file>

<file path=xl/activeX/_rels/activeX14.xml.rels><?xml version="1.0" encoding="UTF-8"?>

<Relationships xmlns="http://schemas.openxmlformats.org/package/2006/relationships">
  <Relationship Id="rId1" Type="http://schemas.microsoft.com/office/2006/relationships/activeXControlBinary" Target="activeX14.bin"/>
</Relationships>

</file>

<file path=xl/activeX/_rels/activeX15.xml.rels><?xml version="1.0" encoding="UTF-8"?>

<Relationships xmlns="http://schemas.openxmlformats.org/package/2006/relationships">
  <Relationship Id="rId1" Type="http://schemas.microsoft.com/office/2006/relationships/activeXControlBinary" Target="activeX15.bin"/>
</Relationships>

</file>

<file path=xl/activeX/_rels/activeX16.xml.rels><?xml version="1.0" encoding="UTF-8"?>

<Relationships xmlns="http://schemas.openxmlformats.org/package/2006/relationships">
  <Relationship Id="rId1" Type="http://schemas.microsoft.com/office/2006/relationships/activeXControlBinary" Target="activeX16.bin"/>
</Relationships>

</file>

<file path=xl/activeX/_rels/activeX17.xml.rels><?xml version="1.0" encoding="UTF-8"?>

<Relationships xmlns="http://schemas.openxmlformats.org/package/2006/relationships">
  <Relationship Id="rId1" Type="http://schemas.microsoft.com/office/2006/relationships/activeXControlBinary" Target="activeX17.bin"/>
</Relationships>

</file>

<file path=xl/activeX/_rels/activeX18.xml.rels><?xml version="1.0" encoding="UTF-8"?>

<Relationships xmlns="http://schemas.openxmlformats.org/package/2006/relationships">
  <Relationship Id="rId1" Type="http://schemas.microsoft.com/office/2006/relationships/activeXControlBinary" Target="activeX18.bin"/>
</Relationships>

</file>

<file path=xl/activeX/_rels/activeX19.xml.rels><?xml version="1.0" encoding="UTF-8"?>

<Relationships xmlns="http://schemas.openxmlformats.org/package/2006/relationships">
  <Relationship Id="rId1" Type="http://schemas.microsoft.com/office/2006/relationships/activeXControlBinary" Target="activeX19.bin"/>
</Relationships>

</file>

<file path=xl/activeX/_rels/activeX20.xml.rels><?xml version="1.0" encoding="UTF-8"?>

<Relationships xmlns="http://schemas.openxmlformats.org/package/2006/relationships">
  <Relationship Id="rId1" Type="http://schemas.microsoft.com/office/2006/relationships/activeXControlBinary" Target="activeX20.bin"/>
</Relationships>

</file>

<file path=xl/activeX/_rels/activeX21.xml.rels><?xml version="1.0" encoding="UTF-8"?>

<Relationships xmlns="http://schemas.openxmlformats.org/package/2006/relationships">
  <Relationship Id="rId1" Type="http://schemas.microsoft.com/office/2006/relationships/activeXControlBinary" Target="activeX21.bin"/>
</Relationships>

</file>

<file path=xl/activeX/_rels/activeX22.xml.rels><?xml version="1.0" encoding="UTF-8"?>

<Relationships xmlns="http://schemas.openxmlformats.org/package/2006/relationships">
  <Relationship Id="rId1" Type="http://schemas.microsoft.com/office/2006/relationships/activeXControlBinary" Target="activeX22.bin"/>
</Relationships>

</file>

<file path=xl/activeX/_rels/activeX23.xml.rels><?xml version="1.0" encoding="UTF-8"?>

<Relationships xmlns="http://schemas.openxmlformats.org/package/2006/relationships">
  <Relationship Id="rId1" Type="http://schemas.microsoft.com/office/2006/relationships/activeXControlBinary" Target="activeX23.bin"/>
</Relationships>

</file>

<file path=xl/activeX/_rels/activeX24.xml.rels><?xml version="1.0" encoding="UTF-8"?>

<Relationships xmlns="http://schemas.openxmlformats.org/package/2006/relationships">
  <Relationship Id="rId1" Type="http://schemas.microsoft.com/office/2006/relationships/activeXControlBinary" Target="activeX24.bin"/>
</Relationships>
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?>

<Relationships xmlns="http://schemas.openxmlformats.org/package/2006/relationships">
  <Relationship Id="rId1" Type="http://schemas.openxmlformats.org/officeDocument/2006/relationships/image" Target="../media/image24.emf"/>
  <Relationship Id="rId10" Type="http://schemas.openxmlformats.org/officeDocument/2006/relationships/image" Target="../media/image15.emf"/>
  <Relationship Id="rId11" Type="http://schemas.openxmlformats.org/officeDocument/2006/relationships/image" Target="../media/image14.emf"/>
  <Relationship Id="rId12" Type="http://schemas.openxmlformats.org/officeDocument/2006/relationships/image" Target="../media/image13.emf"/>
  <Relationship Id="rId13" Type="http://schemas.openxmlformats.org/officeDocument/2006/relationships/image" Target="../media/image12.emf"/>
  <Relationship Id="rId14" Type="http://schemas.openxmlformats.org/officeDocument/2006/relationships/image" Target="../media/image11.emf"/>
  <Relationship Id="rId15" Type="http://schemas.openxmlformats.org/officeDocument/2006/relationships/image" Target="../media/image10.emf"/>
  <Relationship Id="rId16" Type="http://schemas.openxmlformats.org/officeDocument/2006/relationships/image" Target="../media/image9.emf"/>
  <Relationship Id="rId17" Type="http://schemas.openxmlformats.org/officeDocument/2006/relationships/image" Target="../media/image8.emf"/>
  <Relationship Id="rId18" Type="http://schemas.openxmlformats.org/officeDocument/2006/relationships/image" Target="../media/image7.emf"/>
  <Relationship Id="rId19" Type="http://schemas.openxmlformats.org/officeDocument/2006/relationships/image" Target="../media/image6.emf"/>
  <Relationship Id="rId2" Type="http://schemas.openxmlformats.org/officeDocument/2006/relationships/image" Target="../media/image23.emf"/>
  <Relationship Id="rId20" Type="http://schemas.openxmlformats.org/officeDocument/2006/relationships/image" Target="../media/image5.emf"/>
  <Relationship Id="rId21" Type="http://schemas.openxmlformats.org/officeDocument/2006/relationships/image" Target="../media/image4.emf"/>
  <Relationship Id="rId22" Type="http://schemas.openxmlformats.org/officeDocument/2006/relationships/image" Target="../media/image3.emf"/>
  <Relationship Id="rId23" Type="http://schemas.openxmlformats.org/officeDocument/2006/relationships/image" Target="../media/image2.emf"/>
  <Relationship Id="rId24" Type="http://schemas.openxmlformats.org/officeDocument/2006/relationships/image" Target="../media/image1.emf"/>
  <Relationship Id="rId3" Type="http://schemas.openxmlformats.org/officeDocument/2006/relationships/image" Target="../media/image22.emf"/>
  <Relationship Id="rId4" Type="http://schemas.openxmlformats.org/officeDocument/2006/relationships/image" Target="../media/image21.emf"/>
  <Relationship Id="rId5" Type="http://schemas.openxmlformats.org/officeDocument/2006/relationships/image" Target="../media/image20.emf"/>
  <Relationship Id="rId6" Type="http://schemas.openxmlformats.org/officeDocument/2006/relationships/image" Target="../media/image19.emf"/>
  <Relationship Id="rId7" Type="http://schemas.openxmlformats.org/officeDocument/2006/relationships/image" Target="../media/image18.emf"/>
  <Relationship Id="rId8" Type="http://schemas.openxmlformats.org/officeDocument/2006/relationships/image" Target="../media/image17.emf"/>
  <Relationship Id="rId9" Type="http://schemas.openxmlformats.org/officeDocument/2006/relationships/image" Target="../media/image16.emf"/>
</Relationships>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29</xdr:row>
          <xdr:rowOff>28575</xdr:rowOff>
        </xdr:from>
        <xdr:to>
          <xdr:col>1</xdr:col>
          <xdr:colOff>3848100</xdr:colOff>
          <xdr:row>29</xdr:row>
          <xdr:rowOff>219075</xdr:rowOff>
        </xdr:to>
        <xdr:sp macro="" textlink="">
          <xdr:nvSpPr>
            <xdr:cNvPr id="1025" name="ChkBx_CellStatus_O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3886200</xdr:colOff>
          <xdr:row>29</xdr:row>
          <xdr:rowOff>38100</xdr:rowOff>
        </xdr:from>
        <xdr:to>
          <xdr:col>1</xdr:col>
          <xdr:colOff>4543425</xdr:colOff>
          <xdr:row>29</xdr:row>
          <xdr:rowOff>209550</xdr:rowOff>
        </xdr:to>
        <xdr:sp macro="" textlink="">
          <xdr:nvSpPr>
            <xdr:cNvPr id="1026" name="ChkBx_CellStatus_N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3676650</xdr:colOff>
          <xdr:row>35</xdr:row>
          <xdr:rowOff>19050</xdr:rowOff>
        </xdr:from>
        <xdr:to>
          <xdr:col>1</xdr:col>
          <xdr:colOff>4181475</xdr:colOff>
          <xdr:row>35</xdr:row>
          <xdr:rowOff>180975</xdr:rowOff>
        </xdr:to>
        <xdr:sp macro="" textlink="">
          <xdr:nvSpPr>
            <xdr:cNvPr id="1027" name="ChkBx_AlarmsY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4124325</xdr:colOff>
          <xdr:row>35</xdr:row>
          <xdr:rowOff>9525</xdr:rowOff>
        </xdr:from>
        <xdr:to>
          <xdr:col>1</xdr:col>
          <xdr:colOff>4514850</xdr:colOff>
          <xdr:row>35</xdr:row>
          <xdr:rowOff>200025</xdr:rowOff>
        </xdr:to>
        <xdr:sp macro="" textlink="">
          <xdr:nvSpPr>
            <xdr:cNvPr id="1028" name="ChkBx_AlarmsN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38</xdr:row>
          <xdr:rowOff>19050</xdr:rowOff>
        </xdr:from>
        <xdr:to>
          <xdr:col>1</xdr:col>
          <xdr:colOff>3457575</xdr:colOff>
          <xdr:row>38</xdr:row>
          <xdr:rowOff>238125</xdr:rowOff>
        </xdr:to>
        <xdr:sp macro="" textlink="">
          <xdr:nvSpPr>
            <xdr:cNvPr id="1029" name="ChkBx_RSSIinRan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3590925</xdr:colOff>
          <xdr:row>38</xdr:row>
          <xdr:rowOff>28575</xdr:rowOff>
        </xdr:from>
        <xdr:to>
          <xdr:col>1</xdr:col>
          <xdr:colOff>4524375</xdr:colOff>
          <xdr:row>38</xdr:row>
          <xdr:rowOff>228600</xdr:rowOff>
        </xdr:to>
        <xdr:sp macro="" textlink="">
          <xdr:nvSpPr>
            <xdr:cNvPr id="1030" name="ChkBx_RSSIoutofRang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2895600</xdr:colOff>
          <xdr:row>44</xdr:row>
          <xdr:rowOff>9525</xdr:rowOff>
        </xdr:from>
        <xdr:to>
          <xdr:col>1</xdr:col>
          <xdr:colOff>3619500</xdr:colOff>
          <xdr:row>45</xdr:row>
          <xdr:rowOff>9525</xdr:rowOff>
        </xdr:to>
        <xdr:sp macro="" textlink="">
          <xdr:nvSpPr>
            <xdr:cNvPr id="1031" name="ChkBx_VSWRinRang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44</xdr:row>
          <xdr:rowOff>9525</xdr:rowOff>
        </xdr:from>
        <xdr:to>
          <xdr:col>1</xdr:col>
          <xdr:colOff>4648200</xdr:colOff>
          <xdr:row>44</xdr:row>
          <xdr:rowOff>209550</xdr:rowOff>
        </xdr:to>
        <xdr:sp macro="" textlink="">
          <xdr:nvSpPr>
            <xdr:cNvPr id="1032" name="ChkBx_VSWRoutOfRang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2305050</xdr:colOff>
          <xdr:row>51</xdr:row>
          <xdr:rowOff>19050</xdr:rowOff>
        </xdr:from>
        <xdr:to>
          <xdr:col>1</xdr:col>
          <xdr:colOff>2733675</xdr:colOff>
          <xdr:row>51</xdr:row>
          <xdr:rowOff>247650</xdr:rowOff>
        </xdr:to>
        <xdr:sp macro="" textlink="">
          <xdr:nvSpPr>
            <xdr:cNvPr id="1033" name="ChkBx_RETo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51</xdr:row>
          <xdr:rowOff>28575</xdr:rowOff>
        </xdr:from>
        <xdr:to>
          <xdr:col>1</xdr:col>
          <xdr:colOff>3371850</xdr:colOff>
          <xdr:row>51</xdr:row>
          <xdr:rowOff>257175</xdr:rowOff>
        </xdr:to>
        <xdr:sp macro="" textlink="">
          <xdr:nvSpPr>
            <xdr:cNvPr id="1034" name="ChkBx_RetNO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3390900</xdr:colOff>
          <xdr:row>51</xdr:row>
          <xdr:rowOff>19050</xdr:rowOff>
        </xdr:from>
        <xdr:to>
          <xdr:col>1</xdr:col>
          <xdr:colOff>4657725</xdr:colOff>
          <xdr:row>52</xdr:row>
          <xdr:rowOff>19050</xdr:rowOff>
        </xdr:to>
        <xdr:sp macro="" textlink="">
          <xdr:nvSpPr>
            <xdr:cNvPr id="1035" name="ChkBx_RetN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54</xdr:row>
          <xdr:rowOff>19050</xdr:rowOff>
        </xdr:from>
        <xdr:to>
          <xdr:col>1</xdr:col>
          <xdr:colOff>2714625</xdr:colOff>
          <xdr:row>54</xdr:row>
          <xdr:rowOff>238125</xdr:rowOff>
        </xdr:to>
        <xdr:sp macro="" textlink="">
          <xdr:nvSpPr>
            <xdr:cNvPr id="1036" name="ChkBx_TmaO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54</xdr:row>
          <xdr:rowOff>19050</xdr:rowOff>
        </xdr:from>
        <xdr:to>
          <xdr:col>1</xdr:col>
          <xdr:colOff>3390900</xdr:colOff>
          <xdr:row>54</xdr:row>
          <xdr:rowOff>238125</xdr:rowOff>
        </xdr:to>
        <xdr:sp macro="" textlink="">
          <xdr:nvSpPr>
            <xdr:cNvPr id="1037" name="ChkBx_TmaNO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3409950</xdr:colOff>
          <xdr:row>54</xdr:row>
          <xdr:rowOff>9525</xdr:rowOff>
        </xdr:from>
        <xdr:to>
          <xdr:col>1</xdr:col>
          <xdr:colOff>4638675</xdr:colOff>
          <xdr:row>54</xdr:row>
          <xdr:rowOff>238125</xdr:rowOff>
        </xdr:to>
        <xdr:sp macro="" textlink="">
          <xdr:nvSpPr>
            <xdr:cNvPr id="1038" name="ChkBx_TmaN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1045" name="TxtBx_CellStatu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9525</xdr:colOff>
          <xdr:row>38</xdr:row>
          <xdr:rowOff>0</xdr:rowOff>
        </xdr:to>
        <xdr:sp macro="" textlink="">
          <xdr:nvSpPr>
            <xdr:cNvPr id="1046" name="TxtBx_Alarm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9525</xdr:colOff>
          <xdr:row>44</xdr:row>
          <xdr:rowOff>0</xdr:rowOff>
        </xdr:to>
        <xdr:sp macro="" textlink="">
          <xdr:nvSpPr>
            <xdr:cNvPr id="1047" name="TxtBx_RSSI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9525</xdr:colOff>
          <xdr:row>50</xdr:row>
          <xdr:rowOff>885825</xdr:rowOff>
        </xdr:to>
        <xdr:sp macro="" textlink="">
          <xdr:nvSpPr>
            <xdr:cNvPr id="1048" name="TxtBx_VSW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9525</xdr:colOff>
          <xdr:row>54</xdr:row>
          <xdr:rowOff>0</xdr:rowOff>
        </xdr:to>
        <xdr:sp macro="" textlink="">
          <xdr:nvSpPr>
            <xdr:cNvPr id="1049" name="TxtBx_RE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3</xdr:col>
          <xdr:colOff>9525</xdr:colOff>
          <xdr:row>57</xdr:row>
          <xdr:rowOff>0</xdr:rowOff>
        </xdr:to>
        <xdr:sp macro="" textlink="">
          <xdr:nvSpPr>
            <xdr:cNvPr id="1050" name="TxtBx_TM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3</xdr:col>
          <xdr:colOff>9525</xdr:colOff>
          <xdr:row>61</xdr:row>
          <xdr:rowOff>9525</xdr:rowOff>
        </xdr:to>
        <xdr:sp macro="" textlink="">
          <xdr:nvSpPr>
            <xdr:cNvPr id="1051" name="TxtBx_Relation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3581400</xdr:colOff>
          <xdr:row>57</xdr:row>
          <xdr:rowOff>19050</xdr:rowOff>
        </xdr:from>
        <xdr:to>
          <xdr:col>1</xdr:col>
          <xdr:colOff>3981450</xdr:colOff>
          <xdr:row>57</xdr:row>
          <xdr:rowOff>238125</xdr:rowOff>
        </xdr:to>
        <xdr:sp macro="" textlink="">
          <xdr:nvSpPr>
            <xdr:cNvPr id="1052" name="ChkBx_Relatns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4019550</xdr:colOff>
          <xdr:row>57</xdr:row>
          <xdr:rowOff>19050</xdr:rowOff>
        </xdr:from>
        <xdr:to>
          <xdr:col>1</xdr:col>
          <xdr:colOff>4657725</xdr:colOff>
          <xdr:row>57</xdr:row>
          <xdr:rowOff>238125</xdr:rowOff>
        </xdr:to>
        <xdr:sp macro="" textlink="">
          <xdr:nvSpPr>
            <xdr:cNvPr id="1053" name="ChkBx_RelatnsNO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904875</xdr:rowOff>
        </xdr:from>
        <xdr:to>
          <xdr:col>3</xdr:col>
          <xdr:colOff>9525</xdr:colOff>
          <xdr:row>65</xdr:row>
          <xdr:rowOff>0</xdr:rowOff>
        </xdr:to>
        <xdr:sp macro="" textlink="">
          <xdr:nvSpPr>
            <xdr:cNvPr id="1054" name="TxtBx_MiscOutput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10" Type="http://schemas.openxmlformats.org/officeDocument/2006/relationships/control" Target="../activeX/activeX4.xml"/>
  <Relationship Id="rId11" Type="http://schemas.openxmlformats.org/officeDocument/2006/relationships/image" Target="../media/image4.emf"/>
  <Relationship Id="rId12" Type="http://schemas.openxmlformats.org/officeDocument/2006/relationships/control" Target="../activeX/activeX5.xml"/>
  <Relationship Id="rId13" Type="http://schemas.openxmlformats.org/officeDocument/2006/relationships/image" Target="../media/image5.emf"/>
  <Relationship Id="rId14" Type="http://schemas.openxmlformats.org/officeDocument/2006/relationships/control" Target="../activeX/activeX6.xml"/>
  <Relationship Id="rId15" Type="http://schemas.openxmlformats.org/officeDocument/2006/relationships/image" Target="../media/image6.emf"/>
  <Relationship Id="rId16" Type="http://schemas.openxmlformats.org/officeDocument/2006/relationships/control" Target="../activeX/activeX7.xml"/>
  <Relationship Id="rId17" Type="http://schemas.openxmlformats.org/officeDocument/2006/relationships/image" Target="../media/image7.emf"/>
  <Relationship Id="rId18" Type="http://schemas.openxmlformats.org/officeDocument/2006/relationships/control" Target="../activeX/activeX8.xml"/>
  <Relationship Id="rId19" Type="http://schemas.openxmlformats.org/officeDocument/2006/relationships/image" Target="../media/image8.emf"/>
  <Relationship Id="rId2" Type="http://schemas.openxmlformats.org/officeDocument/2006/relationships/drawing" Target="../drawings/drawing1.xml"/>
  <Relationship Id="rId20" Type="http://schemas.openxmlformats.org/officeDocument/2006/relationships/control" Target="../activeX/activeX9.xml"/>
  <Relationship Id="rId21" Type="http://schemas.openxmlformats.org/officeDocument/2006/relationships/image" Target="../media/image9.emf"/>
  <Relationship Id="rId22" Type="http://schemas.openxmlformats.org/officeDocument/2006/relationships/control" Target="../activeX/activeX10.xml"/>
  <Relationship Id="rId23" Type="http://schemas.openxmlformats.org/officeDocument/2006/relationships/image" Target="../media/image10.emf"/>
  <Relationship Id="rId24" Type="http://schemas.openxmlformats.org/officeDocument/2006/relationships/control" Target="../activeX/activeX11.xml"/>
  <Relationship Id="rId25" Type="http://schemas.openxmlformats.org/officeDocument/2006/relationships/image" Target="../media/image11.emf"/>
  <Relationship Id="rId26" Type="http://schemas.openxmlformats.org/officeDocument/2006/relationships/control" Target="../activeX/activeX12.xml"/>
  <Relationship Id="rId27" Type="http://schemas.openxmlformats.org/officeDocument/2006/relationships/image" Target="../media/image12.emf"/>
  <Relationship Id="rId28" Type="http://schemas.openxmlformats.org/officeDocument/2006/relationships/control" Target="../activeX/activeX13.xml"/>
  <Relationship Id="rId29" Type="http://schemas.openxmlformats.org/officeDocument/2006/relationships/image" Target="../media/image13.emf"/>
  <Relationship Id="rId3" Type="http://schemas.openxmlformats.org/officeDocument/2006/relationships/vmlDrawing" Target="../drawings/vmlDrawing1.vml"/>
  <Relationship Id="rId30" Type="http://schemas.openxmlformats.org/officeDocument/2006/relationships/control" Target="../activeX/activeX14.xml"/>
  <Relationship Id="rId31" Type="http://schemas.openxmlformats.org/officeDocument/2006/relationships/image" Target="../media/image14.emf"/>
  <Relationship Id="rId32" Type="http://schemas.openxmlformats.org/officeDocument/2006/relationships/control" Target="../activeX/activeX15.xml"/>
  <Relationship Id="rId33" Type="http://schemas.openxmlformats.org/officeDocument/2006/relationships/image" Target="../media/image15.emf"/>
  <Relationship Id="rId34" Type="http://schemas.openxmlformats.org/officeDocument/2006/relationships/control" Target="../activeX/activeX16.xml"/>
  <Relationship Id="rId35" Type="http://schemas.openxmlformats.org/officeDocument/2006/relationships/image" Target="../media/image16.emf"/>
  <Relationship Id="rId36" Type="http://schemas.openxmlformats.org/officeDocument/2006/relationships/control" Target="../activeX/activeX17.xml"/>
  <Relationship Id="rId37" Type="http://schemas.openxmlformats.org/officeDocument/2006/relationships/image" Target="../media/image17.emf"/>
  <Relationship Id="rId38" Type="http://schemas.openxmlformats.org/officeDocument/2006/relationships/control" Target="../activeX/activeX18.xml"/>
  <Relationship Id="rId39" Type="http://schemas.openxmlformats.org/officeDocument/2006/relationships/image" Target="../media/image18.emf"/>
  <Relationship Id="rId4" Type="http://schemas.openxmlformats.org/officeDocument/2006/relationships/control" Target="../activeX/activeX1.xml"/>
  <Relationship Id="rId40" Type="http://schemas.openxmlformats.org/officeDocument/2006/relationships/control" Target="../activeX/activeX19.xml"/>
  <Relationship Id="rId41" Type="http://schemas.openxmlformats.org/officeDocument/2006/relationships/image" Target="../media/image19.emf"/>
  <Relationship Id="rId42" Type="http://schemas.openxmlformats.org/officeDocument/2006/relationships/control" Target="../activeX/activeX20.xml"/>
  <Relationship Id="rId43" Type="http://schemas.openxmlformats.org/officeDocument/2006/relationships/image" Target="../media/image20.emf"/>
  <Relationship Id="rId44" Type="http://schemas.openxmlformats.org/officeDocument/2006/relationships/control" Target="../activeX/activeX21.xml"/>
  <Relationship Id="rId45" Type="http://schemas.openxmlformats.org/officeDocument/2006/relationships/image" Target="../media/image21.emf"/>
  <Relationship Id="rId46" Type="http://schemas.openxmlformats.org/officeDocument/2006/relationships/control" Target="../activeX/activeX22.xml"/>
  <Relationship Id="rId47" Type="http://schemas.openxmlformats.org/officeDocument/2006/relationships/image" Target="../media/image22.emf"/>
  <Relationship Id="rId48" Type="http://schemas.openxmlformats.org/officeDocument/2006/relationships/control" Target="../activeX/activeX23.xml"/>
  <Relationship Id="rId49" Type="http://schemas.openxmlformats.org/officeDocument/2006/relationships/image" Target="../media/image23.emf"/>
  <Relationship Id="rId5" Type="http://schemas.openxmlformats.org/officeDocument/2006/relationships/image" Target="../media/image1.emf"/>
  <Relationship Id="rId50" Type="http://schemas.openxmlformats.org/officeDocument/2006/relationships/control" Target="../activeX/activeX24.xml"/>
  <Relationship Id="rId51" Type="http://schemas.openxmlformats.org/officeDocument/2006/relationships/image" Target="../media/image24.emf"/>
  <Relationship Id="rId6" Type="http://schemas.openxmlformats.org/officeDocument/2006/relationships/control" Target="../activeX/activeX2.xml"/>
  <Relationship Id="rId7" Type="http://schemas.openxmlformats.org/officeDocument/2006/relationships/image" Target="../media/image2.emf"/>
  <Relationship Id="rId8" Type="http://schemas.openxmlformats.org/officeDocument/2006/relationships/control" Target="../activeX/activeX3.xml"/>
  <Relationship Id="rId9" Type="http://schemas.openxmlformats.org/officeDocument/2006/relationships/image" Target="../media/image3.emf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877"/>
  <sheetViews>
    <sheetView tabSelected="1" topLeftCell="B1" workbookViewId="0">
      <pane ySplit="3" topLeftCell="A4" activePane="bottomLeft" state="frozen"/>
      <selection pane="bottomLeft" activeCell="B28" sqref="B28"/>
    </sheetView>
  </sheetViews>
  <sheetFormatPr defaultColWidth="0" defaultRowHeight="12.75" zeroHeight="1" x14ac:dyDescent="0.2"/>
  <cols>
    <col min="1" max="1" customWidth="true" style="10" width="1.28515625" collapsed="true"/>
    <col min="2" max="2" customWidth="true" style="10" width="70.42578125" collapsed="true"/>
    <col min="3" max="3" customWidth="true" style="10" width="107.85546875" collapsed="true"/>
    <col min="4" max="4" customWidth="true" style="10" width="1.42578125" collapsed="true"/>
    <col min="5" max="16384" hidden="true" style="10" width="9.140625" collapsed="true"/>
  </cols>
  <sheetData>
    <row r="1" spans="1:26" ht="15" customHeight="1" thickTop="1" x14ac:dyDescent="0.2">
      <c r="A1" s="9"/>
      <c r="B1" s="58" t="s">
        <v>90</v>
      </c>
      <c r="C1" s="59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5" customHeight="1" x14ac:dyDescent="0.2">
      <c r="A2" s="9"/>
      <c r="B2" s="60"/>
      <c r="C2" s="61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4.9000000000000004" customHeight="1" x14ac:dyDescent="0.2">
      <c r="A3" s="9"/>
      <c r="B3" s="3" t="s">
        <v>0</v>
      </c>
      <c r="C3" s="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5" customHeight="1" x14ac:dyDescent="0.2">
      <c r="A4" s="9"/>
      <c r="B4" s="35" t="s">
        <v>62</v>
      </c>
      <c r="C4" s="26" t="s">
        <v>114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5" customHeight="1" x14ac:dyDescent="0.2">
      <c r="A5" s="9"/>
      <c r="B5" s="35" t="s">
        <v>66</v>
      </c>
      <c r="C5" s="26" t="s">
        <v>115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" customHeight="1" x14ac:dyDescent="0.2">
      <c r="A6" s="9"/>
      <c r="B6" s="35" t="s">
        <v>5</v>
      </c>
      <c r="C6" s="26" t="s">
        <v>16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5" customHeight="1" x14ac:dyDescent="0.2">
      <c r="A7" s="9"/>
      <c r="B7" s="35" t="s">
        <v>63</v>
      </c>
      <c r="C7" s="26" t="s">
        <v>116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5" customHeight="1" x14ac:dyDescent="0.2">
      <c r="A8" s="9"/>
      <c r="B8" s="35" t="s">
        <v>69</v>
      </c>
      <c r="C8" s="26" t="s">
        <v>117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5" customHeight="1" x14ac:dyDescent="0.2">
      <c r="A9" s="9"/>
      <c r="B9" s="35" t="s">
        <v>68</v>
      </c>
      <c r="C9" s="26" t="s">
        <v>118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5" customHeight="1" x14ac:dyDescent="0.2">
      <c r="A10" s="9"/>
      <c r="B10" s="35" t="s">
        <v>91</v>
      </c>
      <c r="C10" s="26" t="s">
        <v>119</v>
      </c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5" customHeight="1" x14ac:dyDescent="0.2">
      <c r="A11" s="9"/>
      <c r="B11" s="35" t="s">
        <v>83</v>
      </c>
      <c r="C11" s="28" t="s">
        <v>120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5" customHeight="1" x14ac:dyDescent="0.2">
      <c r="A12" s="9"/>
      <c r="B12" s="36" t="s">
        <v>67</v>
      </c>
      <c r="C12" s="26" t="s">
        <v>121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5" customHeight="1" x14ac:dyDescent="0.2">
      <c r="A13" s="9"/>
      <c r="B13" s="35" t="s">
        <v>65</v>
      </c>
      <c r="C13" s="44" t="s">
        <v>122</v>
      </c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5" customHeight="1" x14ac:dyDescent="0.2">
      <c r="A14" s="9"/>
      <c r="B14" s="37" t="s">
        <v>99</v>
      </c>
      <c r="C14" s="27" t="s">
        <v>123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24.75" customHeight="1" x14ac:dyDescent="0.2">
      <c r="A15" s="30"/>
      <c r="B15" s="39" t="str">
        <f>IF(C14="no","Brief explanation of why site was not call tested? ---&gt;","")</f>
        <v/>
      </c>
      <c r="C15" s="3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5" customHeight="1" x14ac:dyDescent="0.2">
      <c r="A16" s="30"/>
      <c r="B16" s="50" t="s">
        <v>97</v>
      </c>
      <c r="C16" s="34" t="s">
        <v>123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5" customHeight="1" x14ac:dyDescent="0.2">
      <c r="A17" s="30"/>
      <c r="B17" s="50" t="s">
        <v>98</v>
      </c>
      <c r="C17" s="34" t="s">
        <v>123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5" customHeight="1" x14ac:dyDescent="0.2">
      <c r="A18" s="9"/>
      <c r="B18" s="36" t="s">
        <v>3</v>
      </c>
      <c r="C18" s="26" t="s">
        <v>124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5" customHeight="1" x14ac:dyDescent="0.2">
      <c r="A19" s="9"/>
      <c r="B19" s="35" t="s">
        <v>4</v>
      </c>
      <c r="C19" s="43" t="s">
        <v>122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5" customHeight="1" thickBot="1" x14ac:dyDescent="0.25">
      <c r="A20" s="9"/>
      <c r="B20" s="38" t="s">
        <v>64</v>
      </c>
      <c r="C20" s="8" t="s">
        <v>125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8.95" hidden="1" customHeight="1" x14ac:dyDescent="0.2">
      <c r="A21" s="9"/>
      <c r="B21" s="5" t="s">
        <v>7</v>
      </c>
      <c r="C21" s="11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8.95" hidden="1" customHeight="1" x14ac:dyDescent="0.2">
      <c r="A22" s="9"/>
      <c r="B22" s="6" t="s">
        <v>70</v>
      </c>
      <c r="C22" s="12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idden="1" x14ac:dyDescent="0.2">
      <c r="A23" s="9"/>
      <c r="B23" s="6" t="s">
        <v>9</v>
      </c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idden="1" x14ac:dyDescent="0.2">
      <c r="A24" s="9"/>
      <c r="B24" s="6" t="s">
        <v>10</v>
      </c>
      <c r="C24" s="12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idden="1" x14ac:dyDescent="0.2">
      <c r="A25" s="9"/>
      <c r="B25" s="6" t="s">
        <v>11</v>
      </c>
      <c r="C25" s="12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idden="1" x14ac:dyDescent="0.2">
      <c r="A26" s="9"/>
      <c r="B26" s="7" t="s">
        <v>14</v>
      </c>
      <c r="C26" s="12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3.5" thickBot="1" x14ac:dyDescent="0.25">
      <c r="A27" s="9"/>
      <c r="B27" s="73" t="s">
        <v>112</v>
      </c>
      <c r="C27" s="8" t="s">
        <v>126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3.5" thickBot="1" x14ac:dyDescent="0.25">
      <c r="A28" s="9"/>
      <c r="B28" s="38" t="s">
        <v>113</v>
      </c>
      <c r="C28" s="8" t="s">
        <v>127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8.75" thickBot="1" x14ac:dyDescent="0.3">
      <c r="A29" s="9"/>
      <c r="B29" s="32" t="s">
        <v>89</v>
      </c>
      <c r="C29" s="33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28.5" customHeight="1" x14ac:dyDescent="0.2">
      <c r="A30" s="9"/>
      <c r="B30" s="31" t="s">
        <v>71</v>
      </c>
      <c r="C30" s="62" t="s">
        <v>128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x14ac:dyDescent="0.2">
      <c r="A31" s="9"/>
      <c r="B31" s="1" t="s">
        <v>82</v>
      </c>
      <c r="C31" s="62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x14ac:dyDescent="0.2">
      <c r="A32" s="9"/>
      <c r="B32" s="41" t="s">
        <v>100</v>
      </c>
      <c r="C32" s="62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8.75" customHeight="1" x14ac:dyDescent="0.2">
      <c r="A33" s="9"/>
      <c r="B33" s="13" t="s">
        <v>81</v>
      </c>
      <c r="C33" s="62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x14ac:dyDescent="0.2">
      <c r="A34" s="9"/>
      <c r="B34" s="41" t="s">
        <v>101</v>
      </c>
      <c r="C34" s="62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48.75" customHeight="1" thickBot="1" x14ac:dyDescent="0.25">
      <c r="A35" s="9"/>
      <c r="B35" s="52" t="s">
        <v>84</v>
      </c>
      <c r="C35" s="63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21" customHeight="1" x14ac:dyDescent="0.2">
      <c r="A36" s="9"/>
      <c r="B36" s="2" t="s">
        <v>80</v>
      </c>
      <c r="C36" s="64" t="s">
        <v>129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20.25" customHeight="1" x14ac:dyDescent="0.2">
      <c r="A37" s="9"/>
      <c r="B37" s="41" t="s">
        <v>102</v>
      </c>
      <c r="C37" s="65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88.5" customHeight="1" thickBot="1" x14ac:dyDescent="0.25">
      <c r="A38" s="9"/>
      <c r="B38" s="52" t="s">
        <v>110</v>
      </c>
      <c r="C38" s="66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23.25" customHeight="1" x14ac:dyDescent="0.2">
      <c r="A39" s="9"/>
      <c r="B39" s="2" t="s">
        <v>72</v>
      </c>
      <c r="C39" s="67" t="s">
        <v>130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45" customHeight="1" x14ac:dyDescent="0.2">
      <c r="A40" s="9"/>
      <c r="B40" s="1" t="s">
        <v>103</v>
      </c>
      <c r="C40" s="6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45" customHeight="1" x14ac:dyDescent="0.2">
      <c r="A41" s="9"/>
      <c r="B41" s="41" t="s">
        <v>104</v>
      </c>
      <c r="C41" s="6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45" customHeight="1" x14ac:dyDescent="0.2">
      <c r="A42" s="9"/>
      <c r="B42" s="13"/>
      <c r="C42" s="68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5.75" customHeight="1" x14ac:dyDescent="0.2">
      <c r="A43" s="9"/>
      <c r="B43" s="42"/>
      <c r="C43" s="68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44.25" customHeight="1" thickBot="1" x14ac:dyDescent="0.25">
      <c r="A44" s="14"/>
      <c r="B44" s="52" t="s">
        <v>85</v>
      </c>
      <c r="C44" s="69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8" x14ac:dyDescent="0.25">
      <c r="A45" s="14"/>
      <c r="B45" s="47" t="s">
        <v>73</v>
      </c>
      <c r="C45" s="70" t="s">
        <v>131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2">
      <c r="A46" s="14"/>
      <c r="B46" s="29" t="s">
        <v>105</v>
      </c>
      <c r="C46" s="71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2">
      <c r="A47" s="14"/>
      <c r="B47" s="53" t="s">
        <v>106</v>
      </c>
      <c r="C47" s="71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2">
      <c r="A48" s="14"/>
      <c r="B48" s="15"/>
      <c r="C48" s="71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51" x14ac:dyDescent="0.2">
      <c r="A49" s="14"/>
      <c r="B49" s="29"/>
      <c r="C49" s="71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51" x14ac:dyDescent="0.2">
      <c r="A50" s="14"/>
      <c r="B50" s="15"/>
      <c r="C50" s="71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51" ht="70.5" customHeight="1" thickBot="1" x14ac:dyDescent="0.25">
      <c r="A51" s="14"/>
      <c r="B51" s="52" t="s">
        <v>86</v>
      </c>
      <c r="C51" s="72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51" ht="21" customHeight="1" x14ac:dyDescent="0.25">
      <c r="A52" s="14"/>
      <c r="B52" s="47" t="s">
        <v>78</v>
      </c>
      <c r="C52" s="64" t="s">
        <v>132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51" ht="14.45" customHeight="1" x14ac:dyDescent="0.2">
      <c r="A53" s="14"/>
      <c r="B53" s="53" t="s">
        <v>108</v>
      </c>
      <c r="C53" s="65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51" ht="68.25" customHeight="1" thickBot="1" x14ac:dyDescent="0.25">
      <c r="A54" s="14"/>
      <c r="B54" s="52" t="s">
        <v>87</v>
      </c>
      <c r="C54" s="66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51" ht="21" customHeight="1" x14ac:dyDescent="0.25">
      <c r="A55" s="14"/>
      <c r="B55" s="47" t="s">
        <v>79</v>
      </c>
      <c r="C55" s="64" t="s">
        <v>133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51" ht="14.45" customHeight="1" x14ac:dyDescent="0.2">
      <c r="A56" s="14"/>
      <c r="B56" s="53" t="s">
        <v>107</v>
      </c>
      <c r="C56" s="65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51" ht="89.25" customHeight="1" thickBot="1" x14ac:dyDescent="0.25">
      <c r="A57" s="14"/>
      <c r="B57" s="52" t="s">
        <v>88</v>
      </c>
      <c r="C57" s="6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51" ht="21" customHeight="1" x14ac:dyDescent="0.25">
      <c r="A58" s="14"/>
      <c r="B58" s="48" t="s">
        <v>92</v>
      </c>
      <c r="C58" s="55" t="s">
        <v>134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51" x14ac:dyDescent="0.2">
      <c r="A59" s="14"/>
      <c r="B59" s="45" t="s">
        <v>93</v>
      </c>
      <c r="C59" s="56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51" x14ac:dyDescent="0.2">
      <c r="A60" s="14"/>
      <c r="B60" s="54" t="s">
        <v>109</v>
      </c>
      <c r="C60" s="56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51" ht="72" customHeight="1" thickBot="1" x14ac:dyDescent="0.25">
      <c r="A61" s="14"/>
      <c r="B61" s="51" t="s">
        <v>94</v>
      </c>
      <c r="C61" s="57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</row>
    <row r="62" spans="1:51" ht="21" customHeight="1" x14ac:dyDescent="0.25">
      <c r="A62" s="14"/>
      <c r="B62" s="48" t="s">
        <v>95</v>
      </c>
      <c r="C62" s="55" t="s">
        <v>135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51" ht="21" customHeight="1" x14ac:dyDescent="0.2">
      <c r="A63" s="14"/>
      <c r="B63" s="45"/>
      <c r="C63" s="56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51" x14ac:dyDescent="0.2">
      <c r="A64" s="14"/>
      <c r="B64" s="46"/>
      <c r="C64" s="56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51" ht="72" customHeight="1" thickBot="1" x14ac:dyDescent="0.25">
      <c r="A65" s="14"/>
      <c r="B65" s="51" t="s">
        <v>96</v>
      </c>
      <c r="C65" s="57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</row>
    <row r="66" spans="1:51" x14ac:dyDescent="0.2">
      <c r="A66" s="14"/>
      <c r="B66" s="49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</row>
    <row r="67" spans="1:51" hidden="1" x14ac:dyDescent="0.2"/>
    <row r="68" spans="1:51" hidden="1" x14ac:dyDescent="0.2"/>
    <row r="69" spans="1:51" hidden="1" x14ac:dyDescent="0.2"/>
    <row r="70" spans="1:51" hidden="1" x14ac:dyDescent="0.2"/>
    <row r="71" spans="1:51" hidden="1" x14ac:dyDescent="0.2"/>
    <row r="72" spans="1:51" hidden="1" x14ac:dyDescent="0.2"/>
    <row r="73" spans="1:51" hidden="1" x14ac:dyDescent="0.2"/>
    <row r="74" spans="1:51" hidden="1" x14ac:dyDescent="0.2"/>
    <row r="75" spans="1:51" hidden="1" x14ac:dyDescent="0.2"/>
    <row r="76" spans="1:51" hidden="1" x14ac:dyDescent="0.2"/>
    <row r="77" spans="1:51" hidden="1" x14ac:dyDescent="0.2"/>
    <row r="78" spans="1:51" hidden="1" x14ac:dyDescent="0.2"/>
    <row r="79" spans="1:51" hidden="1" x14ac:dyDescent="0.2"/>
    <row r="80" spans="1:51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spans="3:3" hidden="1" x14ac:dyDescent="0.2"/>
    <row r="770" spans="3:3" hidden="1" x14ac:dyDescent="0.2"/>
    <row r="771" spans="3:3" hidden="1" x14ac:dyDescent="0.2"/>
    <row r="772" spans="3:3" hidden="1" x14ac:dyDescent="0.2"/>
    <row r="773" spans="3:3" hidden="1" x14ac:dyDescent="0.2"/>
    <row r="774" spans="3:3" hidden="1" x14ac:dyDescent="0.2"/>
    <row r="775" spans="3:3" hidden="1" x14ac:dyDescent="0.2"/>
    <row r="776" spans="3:3" hidden="1" x14ac:dyDescent="0.2"/>
    <row r="777" spans="3:3" hidden="1" x14ac:dyDescent="0.2"/>
    <row r="778" spans="3:3" hidden="1" x14ac:dyDescent="0.2"/>
    <row r="779" spans="3:3" hidden="1" x14ac:dyDescent="0.2"/>
    <row r="780" spans="3:3" hidden="1" x14ac:dyDescent="0.2"/>
    <row r="781" spans="3:3" hidden="1" x14ac:dyDescent="0.2"/>
    <row r="782" spans="3:3" hidden="1" x14ac:dyDescent="0.2"/>
    <row r="783" spans="3:3" hidden="1" x14ac:dyDescent="0.2"/>
    <row r="784" spans="3:3" ht="15" hidden="1" x14ac:dyDescent="0.25">
      <c r="C784" s="17"/>
    </row>
    <row r="785" spans="2:3" ht="15" hidden="1" x14ac:dyDescent="0.25">
      <c r="B785" s="16" t="s">
        <v>17</v>
      </c>
      <c r="C785" s="18" t="s">
        <v>20</v>
      </c>
    </row>
    <row r="786" spans="2:3" ht="15" hidden="1" x14ac:dyDescent="0.25">
      <c r="B786" s="18" t="s">
        <v>1</v>
      </c>
      <c r="C786" s="17"/>
    </row>
    <row r="787" spans="2:3" ht="15" hidden="1" x14ac:dyDescent="0.25">
      <c r="B787" s="20" t="s">
        <v>28</v>
      </c>
      <c r="C787" s="21" t="s">
        <v>32</v>
      </c>
    </row>
    <row r="788" spans="2:3" ht="15" hidden="1" x14ac:dyDescent="0.25">
      <c r="B788" s="21" t="s">
        <v>30</v>
      </c>
      <c r="C788" s="21" t="s">
        <v>40</v>
      </c>
    </row>
    <row r="789" spans="2:3" ht="15" hidden="1" x14ac:dyDescent="0.25">
      <c r="B789" s="21" t="s">
        <v>38</v>
      </c>
    </row>
    <row r="790" spans="2:3" hidden="1" x14ac:dyDescent="0.2"/>
    <row r="791" spans="2:3" hidden="1" x14ac:dyDescent="0.2"/>
    <row r="792" spans="2:3" ht="15" hidden="1" x14ac:dyDescent="0.25">
      <c r="B792" s="16" t="s">
        <v>18</v>
      </c>
    </row>
    <row r="793" spans="2:3" ht="15" hidden="1" x14ac:dyDescent="0.25">
      <c r="B793" s="18" t="s">
        <v>19</v>
      </c>
    </row>
    <row r="794" spans="2:3" ht="15" hidden="1" x14ac:dyDescent="0.25">
      <c r="B794" s="18" t="s">
        <v>20</v>
      </c>
    </row>
    <row r="795" spans="2:3" ht="15" hidden="1" x14ac:dyDescent="0.25">
      <c r="B795" s="18" t="s">
        <v>21</v>
      </c>
    </row>
    <row r="796" spans="2:3" ht="15" hidden="1" x14ac:dyDescent="0.25">
      <c r="B796" s="18" t="s">
        <v>22</v>
      </c>
    </row>
    <row r="797" spans="2:3" ht="15" hidden="1" x14ac:dyDescent="0.25">
      <c r="B797" s="18" t="s">
        <v>23</v>
      </c>
    </row>
    <row r="798" spans="2:3" ht="15" hidden="1" x14ac:dyDescent="0.25">
      <c r="B798" s="18" t="s">
        <v>24</v>
      </c>
    </row>
    <row r="799" spans="2:3" ht="15" hidden="1" x14ac:dyDescent="0.25">
      <c r="B799" s="18" t="s">
        <v>2</v>
      </c>
    </row>
    <row r="800" spans="2:3" ht="15" hidden="1" x14ac:dyDescent="0.25">
      <c r="B800" s="18" t="s">
        <v>25</v>
      </c>
    </row>
    <row r="801" spans="2:2" ht="15" hidden="1" x14ac:dyDescent="0.25">
      <c r="B801" s="18" t="s">
        <v>26</v>
      </c>
    </row>
    <row r="802" spans="2:2" ht="15" hidden="1" x14ac:dyDescent="0.25">
      <c r="B802" s="18" t="s">
        <v>27</v>
      </c>
    </row>
    <row r="803" spans="2:2" ht="15" hidden="1" x14ac:dyDescent="0.25">
      <c r="B803" s="20" t="s">
        <v>29</v>
      </c>
    </row>
    <row r="804" spans="2:2" ht="15" hidden="1" x14ac:dyDescent="0.25">
      <c r="B804" s="21" t="s">
        <v>31</v>
      </c>
    </row>
    <row r="805" spans="2:2" ht="15" hidden="1" x14ac:dyDescent="0.25">
      <c r="B805" s="21" t="s">
        <v>32</v>
      </c>
    </row>
    <row r="806" spans="2:2" ht="15" hidden="1" x14ac:dyDescent="0.25">
      <c r="B806" s="21" t="s">
        <v>33</v>
      </c>
    </row>
    <row r="807" spans="2:2" ht="15" hidden="1" x14ac:dyDescent="0.25">
      <c r="B807" s="21" t="s">
        <v>34</v>
      </c>
    </row>
    <row r="808" spans="2:2" ht="15" hidden="1" x14ac:dyDescent="0.25">
      <c r="B808" s="21" t="s">
        <v>35</v>
      </c>
    </row>
    <row r="809" spans="2:2" ht="15" hidden="1" x14ac:dyDescent="0.25">
      <c r="B809" s="21" t="s">
        <v>36</v>
      </c>
    </row>
    <row r="810" spans="2:2" ht="15" hidden="1" x14ac:dyDescent="0.25">
      <c r="B810" s="21" t="s">
        <v>37</v>
      </c>
    </row>
    <row r="811" spans="2:2" ht="15" hidden="1" x14ac:dyDescent="0.25">
      <c r="B811" s="21" t="s">
        <v>39</v>
      </c>
    </row>
    <row r="812" spans="2:2" ht="15" hidden="1" x14ac:dyDescent="0.25">
      <c r="B812" s="21" t="s">
        <v>40</v>
      </c>
    </row>
    <row r="813" spans="2:2" ht="15" hidden="1" x14ac:dyDescent="0.25">
      <c r="B813" s="21" t="s">
        <v>41</v>
      </c>
    </row>
    <row r="814" spans="2:2" ht="15" hidden="1" x14ac:dyDescent="0.25">
      <c r="B814" s="21" t="s">
        <v>42</v>
      </c>
    </row>
    <row r="815" spans="2:2" hidden="1" x14ac:dyDescent="0.2"/>
    <row r="816" spans="2:2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spans="2:3" hidden="1" x14ac:dyDescent="0.2"/>
    <row r="834" spans="2:3" hidden="1" x14ac:dyDescent="0.2"/>
    <row r="835" spans="2:3" hidden="1" x14ac:dyDescent="0.2"/>
    <row r="836" spans="2:3" hidden="1" x14ac:dyDescent="0.2">
      <c r="C836" s="23" t="s">
        <v>44</v>
      </c>
    </row>
    <row r="837" spans="2:3" hidden="1" x14ac:dyDescent="0.2">
      <c r="B837" s="19" t="s">
        <v>43</v>
      </c>
      <c r="C837" s="23" t="s">
        <v>46</v>
      </c>
    </row>
    <row r="838" spans="2:3" hidden="1" x14ac:dyDescent="0.2">
      <c r="B838" s="22" t="s">
        <v>45</v>
      </c>
      <c r="C838" s="23" t="s">
        <v>48</v>
      </c>
    </row>
    <row r="839" spans="2:3" hidden="1" x14ac:dyDescent="0.2">
      <c r="B839" s="22" t="s">
        <v>47</v>
      </c>
    </row>
    <row r="840" spans="2:3" hidden="1" x14ac:dyDescent="0.2">
      <c r="B840" s="22" t="s">
        <v>49</v>
      </c>
    </row>
    <row r="841" spans="2:3" ht="15" hidden="1" x14ac:dyDescent="0.25">
      <c r="B841" s="24" t="s">
        <v>6</v>
      </c>
    </row>
    <row r="842" spans="2:3" ht="15" hidden="1" x14ac:dyDescent="0.25">
      <c r="B842" s="24" t="s">
        <v>50</v>
      </c>
      <c r="C842" s="10" t="s">
        <v>51</v>
      </c>
    </row>
    <row r="843" spans="2:3" ht="15" hidden="1" x14ac:dyDescent="0.25">
      <c r="B843" s="24"/>
    </row>
    <row r="844" spans="2:3" hidden="1" x14ac:dyDescent="0.2"/>
    <row r="845" spans="2:3" hidden="1" x14ac:dyDescent="0.2"/>
    <row r="846" spans="2:3" hidden="1" x14ac:dyDescent="0.2">
      <c r="B846" s="10" t="s">
        <v>52</v>
      </c>
    </row>
    <row r="847" spans="2:3" hidden="1" x14ac:dyDescent="0.2">
      <c r="B847" s="22"/>
    </row>
    <row r="848" spans="2:3" hidden="1" x14ac:dyDescent="0.2">
      <c r="B848" s="22" t="s">
        <v>8</v>
      </c>
    </row>
    <row r="849" spans="2:2" hidden="1" x14ac:dyDescent="0.2">
      <c r="B849" s="22" t="s">
        <v>15</v>
      </c>
    </row>
    <row r="850" spans="2:2" hidden="1" x14ac:dyDescent="0.2">
      <c r="B850" s="22" t="s">
        <v>16</v>
      </c>
    </row>
    <row r="851" spans="2:2" hidden="1" x14ac:dyDescent="0.2"/>
    <row r="852" spans="2:2" hidden="1" x14ac:dyDescent="0.2">
      <c r="B852" s="22" t="s">
        <v>53</v>
      </c>
    </row>
    <row r="853" spans="2:2" hidden="1" x14ac:dyDescent="0.2">
      <c r="B853" s="22"/>
    </row>
    <row r="854" spans="2:2" hidden="1" x14ac:dyDescent="0.2">
      <c r="B854" s="22" t="s">
        <v>8</v>
      </c>
    </row>
    <row r="855" spans="2:2" hidden="1" x14ac:dyDescent="0.2">
      <c r="B855" s="22" t="s">
        <v>15</v>
      </c>
    </row>
    <row r="856" spans="2:2" hidden="1" x14ac:dyDescent="0.2"/>
    <row r="857" spans="2:2" hidden="1" x14ac:dyDescent="0.2">
      <c r="B857" s="22" t="s">
        <v>54</v>
      </c>
    </row>
    <row r="858" spans="2:2" hidden="1" x14ac:dyDescent="0.2">
      <c r="B858" s="25"/>
    </row>
    <row r="859" spans="2:2" hidden="1" x14ac:dyDescent="0.2">
      <c r="B859" s="25" t="s">
        <v>55</v>
      </c>
    </row>
    <row r="860" spans="2:2" hidden="1" x14ac:dyDescent="0.2">
      <c r="B860" s="25" t="s">
        <v>56</v>
      </c>
    </row>
    <row r="861" spans="2:2" hidden="1" x14ac:dyDescent="0.2">
      <c r="B861" s="25" t="s">
        <v>57</v>
      </c>
    </row>
    <row r="862" spans="2:2" hidden="1" x14ac:dyDescent="0.2">
      <c r="B862" s="25" t="s">
        <v>13</v>
      </c>
    </row>
    <row r="863" spans="2:2" hidden="1" x14ac:dyDescent="0.2">
      <c r="B863" s="25" t="s">
        <v>12</v>
      </c>
    </row>
    <row r="864" spans="2:2" hidden="1" x14ac:dyDescent="0.2">
      <c r="B864" s="25" t="s">
        <v>58</v>
      </c>
    </row>
    <row r="865" spans="2:2" hidden="1" x14ac:dyDescent="0.2">
      <c r="B865" s="25" t="s">
        <v>59</v>
      </c>
    </row>
    <row r="866" spans="2:2" hidden="1" x14ac:dyDescent="0.2">
      <c r="B866" s="25" t="s">
        <v>60</v>
      </c>
    </row>
    <row r="867" spans="2:2" hidden="1" x14ac:dyDescent="0.2">
      <c r="B867" s="25" t="s">
        <v>16</v>
      </c>
    </row>
    <row r="868" spans="2:2" hidden="1" x14ac:dyDescent="0.2"/>
    <row r="869" spans="2:2" hidden="1" x14ac:dyDescent="0.2"/>
    <row r="870" spans="2:2" hidden="1" x14ac:dyDescent="0.2"/>
    <row r="871" spans="2:2" hidden="1" x14ac:dyDescent="0.2"/>
    <row r="872" spans="2:2" hidden="1" x14ac:dyDescent="0.2"/>
    <row r="873" spans="2:2" hidden="1" x14ac:dyDescent="0.2"/>
    <row r="874" spans="2:2" hidden="1" x14ac:dyDescent="0.2">
      <c r="B874" s="22" t="s">
        <v>61</v>
      </c>
    </row>
    <row r="875" spans="2:2" hidden="1" x14ac:dyDescent="0.2">
      <c r="B875" s="22" t="e">
        <f>IF(#REF!="OTHER",#REF! &amp;"-"&amp;#REF!,#REF!)</f>
        <v>#REF!</v>
      </c>
    </row>
    <row r="876" spans="2:2" hidden="1" x14ac:dyDescent="0.2">
      <c r="B876" s="22"/>
    </row>
    <row r="877" spans="2:2" hidden="1" x14ac:dyDescent="0.2">
      <c r="B877" s="22" t="e">
        <f>IF(#REF!="OTHER",#REF! &amp;"-"&amp;#REF!,#REF!)</f>
        <v>#REF!</v>
      </c>
    </row>
  </sheetData>
  <mergeCells count="9">
    <mergeCell ref="C62:C65"/>
    <mergeCell ref="C58:C61"/>
    <mergeCell ref="B1:C2"/>
    <mergeCell ref="C30:C35"/>
    <mergeCell ref="C52:C54"/>
    <mergeCell ref="C55:C57"/>
    <mergeCell ref="C36:C38"/>
    <mergeCell ref="C39:C44"/>
    <mergeCell ref="C45:C51"/>
  </mergeCells>
  <conditionalFormatting sqref="C15">
    <cfRule type="expression" dxfId="2" priority="3">
      <formula>C14="Yes"</formula>
    </cfRule>
  </conditionalFormatting>
  <conditionalFormatting sqref="C16">
    <cfRule type="expression" dxfId="1" priority="1">
      <formula>C15="Yes"</formula>
    </cfRule>
  </conditionalFormatting>
  <conditionalFormatting sqref="C17">
    <cfRule type="expression" dxfId="0" priority="2">
      <formula>C15="Yes"</formula>
    </cfRule>
  </conditionalFormatting>
  <dataValidations count="4">
    <dataValidation type="list" allowBlank="1" showInputMessage="1" showErrorMessage="1" sqref="C23:C26">
      <formula1>$B$847:$B$850</formula1>
    </dataValidation>
    <dataValidation type="list" allowBlank="1" showInputMessage="1" showErrorMessage="1" promptTitle="ALARMS" prompt="_x000a_SITE MUST BE CLEAR OF ALL ALARMS BEFORE COD SUBMITTED" sqref="C21:C22">
      <formula1>$B$853:$B$855</formula1>
    </dataValidation>
    <dataValidation type="list" allowBlank="1" showInputMessage="1" showErrorMessage="1" sqref="C5">
      <formula1>"LTE,WCDMA"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>
      <mc:Choice Requires="x14">
        <control shapeId="1054" r:id="rId4" name="TxtBx_MiscOutput">
          <controlPr defaultSize="0" autoLine="0" linkedCell="C62" r:id="rId5">
            <anchor moveWithCells="1">
              <from>
                <xdr:col>2</xdr:col>
                <xdr:colOff>0</xdr:colOff>
                <xdr:row>60</xdr:row>
                <xdr:rowOff>904875</xdr:rowOff>
              </from>
              <to>
                <xdr:col>3</xdr:col>
                <xdr:colOff>9525</xdr:colOff>
                <xdr:row>65</xdr:row>
                <xdr:rowOff>0</xdr:rowOff>
              </to>
            </anchor>
          </controlPr>
        </control>
      </mc:Choice>
      <mc:Fallback>
        <control shapeId="1054" r:id="rId4" name="TxtBx_MiscOutput"/>
      </mc:Fallback>
    </mc:AlternateContent>
    <mc:AlternateContent>
      <mc:Choice Requires="x14">
        <control shapeId="1053" r:id="rId6" name="ChkBx_RelatnsNOK">
          <controlPr defaultSize="0" autoLine="0" r:id="rId7">
            <anchor moveWithCells="1">
              <from>
                <xdr:col>1</xdr:col>
                <xdr:colOff>4019550</xdr:colOff>
                <xdr:row>57</xdr:row>
                <xdr:rowOff>19050</xdr:rowOff>
              </from>
              <to>
                <xdr:col>1</xdr:col>
                <xdr:colOff>4657725</xdr:colOff>
                <xdr:row>57</xdr:row>
                <xdr:rowOff>238125</xdr:rowOff>
              </to>
            </anchor>
          </controlPr>
        </control>
      </mc:Choice>
      <mc:Fallback>
        <control shapeId="1053" r:id="rId6" name="ChkBx_RelatnsNOK"/>
      </mc:Fallback>
    </mc:AlternateContent>
    <mc:AlternateContent>
      <mc:Choice Requires="x14">
        <control shapeId="1052" r:id="rId8" name="ChkBx_RelatnsOK">
          <controlPr defaultSize="0" autoLine="0" r:id="rId9">
            <anchor moveWithCells="1">
              <from>
                <xdr:col>1</xdr:col>
                <xdr:colOff>3581400</xdr:colOff>
                <xdr:row>57</xdr:row>
                <xdr:rowOff>19050</xdr:rowOff>
              </from>
              <to>
                <xdr:col>1</xdr:col>
                <xdr:colOff>3981450</xdr:colOff>
                <xdr:row>57</xdr:row>
                <xdr:rowOff>238125</xdr:rowOff>
              </to>
            </anchor>
          </controlPr>
        </control>
      </mc:Choice>
      <mc:Fallback>
        <control shapeId="1052" r:id="rId8" name="ChkBx_RelatnsOK"/>
      </mc:Fallback>
    </mc:AlternateContent>
    <mc:AlternateContent>
      <mc:Choice Requires="x14">
        <control shapeId="1051" r:id="rId10" name="TxtBx_Relations">
          <controlPr defaultSize="0" autoLine="0" linkedCell="C58" r:id="rId11">
            <anchor moveWithCells="1">
              <from>
                <xdr:col>2</xdr:col>
                <xdr:colOff>0</xdr:colOff>
                <xdr:row>57</xdr:row>
                <xdr:rowOff>0</xdr:rowOff>
              </from>
              <to>
                <xdr:col>3</xdr:col>
                <xdr:colOff>9525</xdr:colOff>
                <xdr:row>61</xdr:row>
                <xdr:rowOff>9525</xdr:rowOff>
              </to>
            </anchor>
          </controlPr>
        </control>
      </mc:Choice>
      <mc:Fallback>
        <control shapeId="1051" r:id="rId10" name="TxtBx_Relations"/>
      </mc:Fallback>
    </mc:AlternateContent>
    <mc:AlternateContent>
      <mc:Choice Requires="x14">
        <control shapeId="1050" r:id="rId12" name="TxtBx_TMA">
          <controlPr defaultSize="0" autoLine="0" linkedCell="C55" r:id="rId13">
            <anchor moveWithCells="1">
              <from>
                <xdr:col>2</xdr:col>
                <xdr:colOff>0</xdr:colOff>
                <xdr:row>54</xdr:row>
                <xdr:rowOff>0</xdr:rowOff>
              </from>
              <to>
                <xdr:col>3</xdr:col>
                <xdr:colOff>9525</xdr:colOff>
                <xdr:row>57</xdr:row>
                <xdr:rowOff>0</xdr:rowOff>
              </to>
            </anchor>
          </controlPr>
        </control>
      </mc:Choice>
      <mc:Fallback>
        <control shapeId="1050" r:id="rId12" name="TxtBx_TMA"/>
      </mc:Fallback>
    </mc:AlternateContent>
    <mc:AlternateContent>
      <mc:Choice Requires="x14">
        <control shapeId="1049" r:id="rId14" name="TxtBx_RET">
          <controlPr defaultSize="0" autoLine="0" linkedCell="C52" r:id="rId15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3</xdr:col>
                <xdr:colOff>9525</xdr:colOff>
                <xdr:row>54</xdr:row>
                <xdr:rowOff>0</xdr:rowOff>
              </to>
            </anchor>
          </controlPr>
        </control>
      </mc:Choice>
      <mc:Fallback>
        <control shapeId="1049" r:id="rId14" name="TxtBx_RET"/>
      </mc:Fallback>
    </mc:AlternateContent>
    <mc:AlternateContent>
      <mc:Choice Requires="x14">
        <control shapeId="1048" r:id="rId16" name="TxtBx_VSWR">
          <controlPr locked="0" defaultSize="0" autoLine="0" linkedCell="C45" r:id="rId17">
            <anchor moveWithCells="1">
              <from>
                <xdr:col>2</xdr:col>
                <xdr:colOff>0</xdr:colOff>
                <xdr:row>44</xdr:row>
                <xdr:rowOff>0</xdr:rowOff>
              </from>
              <to>
                <xdr:col>3</xdr:col>
                <xdr:colOff>9525</xdr:colOff>
                <xdr:row>50</xdr:row>
                <xdr:rowOff>885825</xdr:rowOff>
              </to>
            </anchor>
          </controlPr>
        </control>
      </mc:Choice>
      <mc:Fallback>
        <control shapeId="1048" r:id="rId16" name="TxtBx_VSWR"/>
      </mc:Fallback>
    </mc:AlternateContent>
    <mc:AlternateContent>
      <mc:Choice Requires="x14">
        <control shapeId="1047" r:id="rId18" name="TxtBx_RSSI">
          <controlPr locked="0" defaultSize="0" autoLine="0" linkedCell="C39" r:id="rId19">
            <anchor moveWithCells="1">
              <from>
                <xdr:col>2</xdr:col>
                <xdr:colOff>0</xdr:colOff>
                <xdr:row>38</xdr:row>
                <xdr:rowOff>0</xdr:rowOff>
              </from>
              <to>
                <xdr:col>3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047" r:id="rId18" name="TxtBx_RSSI"/>
      </mc:Fallback>
    </mc:AlternateContent>
    <mc:AlternateContent>
      <mc:Choice Requires="x14">
        <control shapeId="1046" r:id="rId20" name="TxtBx_Alarms">
          <controlPr defaultSize="0" autoLine="0" linkedCell="C36" r:id="rId21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3</xdr:col>
                <xdr:colOff>9525</xdr:colOff>
                <xdr:row>38</xdr:row>
                <xdr:rowOff>0</xdr:rowOff>
              </to>
            </anchor>
          </controlPr>
        </control>
      </mc:Choice>
      <mc:Fallback>
        <control shapeId="1046" r:id="rId20" name="TxtBx_Alarms"/>
      </mc:Fallback>
    </mc:AlternateContent>
    <mc:AlternateContent>
      <mc:Choice Requires="x14">
        <control shapeId="1045" r:id="rId22" name="TxtBx_CellStatus">
          <controlPr defaultSize="0" autoLine="0" linkedCell="C30" r:id="rId23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1045" r:id="rId22" name="TxtBx_CellStatus"/>
      </mc:Fallback>
    </mc:AlternateContent>
    <mc:AlternateContent>
      <mc:Choice Requires="x14">
        <control shapeId="1038" r:id="rId24" name="ChkBx_TmaNA">
          <controlPr defaultSize="0" autoLine="0" r:id="rId25">
            <anchor moveWithCells="1">
              <from>
                <xdr:col>1</xdr:col>
                <xdr:colOff>3409950</xdr:colOff>
                <xdr:row>54</xdr:row>
                <xdr:rowOff>9525</xdr:rowOff>
              </from>
              <to>
                <xdr:col>1</xdr:col>
                <xdr:colOff>4638675</xdr:colOff>
                <xdr:row>54</xdr:row>
                <xdr:rowOff>238125</xdr:rowOff>
              </to>
            </anchor>
          </controlPr>
        </control>
      </mc:Choice>
      <mc:Fallback>
        <control shapeId="1038" r:id="rId24" name="ChkBx_TmaNA"/>
      </mc:Fallback>
    </mc:AlternateContent>
    <mc:AlternateContent>
      <mc:Choice Requires="x14">
        <control shapeId="1037" r:id="rId26" name="ChkBx_TmaNOK">
          <controlPr defaultSize="0" autoLine="0" r:id="rId27">
            <anchor moveWithCells="1">
              <from>
                <xdr:col>1</xdr:col>
                <xdr:colOff>2752725</xdr:colOff>
                <xdr:row>54</xdr:row>
                <xdr:rowOff>19050</xdr:rowOff>
              </from>
              <to>
                <xdr:col>1</xdr:col>
                <xdr:colOff>3390900</xdr:colOff>
                <xdr:row>54</xdr:row>
                <xdr:rowOff>238125</xdr:rowOff>
              </to>
            </anchor>
          </controlPr>
        </control>
      </mc:Choice>
      <mc:Fallback>
        <control shapeId="1037" r:id="rId26" name="ChkBx_TmaNOK"/>
      </mc:Fallback>
    </mc:AlternateContent>
    <mc:AlternateContent>
      <mc:Choice Requires="x14">
        <control shapeId="1036" r:id="rId28" name="ChkBx_TmaOK">
          <controlPr defaultSize="0" autoLine="0" r:id="rId29">
            <anchor moveWithCells="1">
              <from>
                <xdr:col>1</xdr:col>
                <xdr:colOff>2314575</xdr:colOff>
                <xdr:row>54</xdr:row>
                <xdr:rowOff>19050</xdr:rowOff>
              </from>
              <to>
                <xdr:col>1</xdr:col>
                <xdr:colOff>2714625</xdr:colOff>
                <xdr:row>54</xdr:row>
                <xdr:rowOff>238125</xdr:rowOff>
              </to>
            </anchor>
          </controlPr>
        </control>
      </mc:Choice>
      <mc:Fallback>
        <control shapeId="1036" r:id="rId28" name="ChkBx_TmaOK"/>
      </mc:Fallback>
    </mc:AlternateContent>
    <mc:AlternateContent>
      <mc:Choice Requires="x14">
        <control shapeId="1035" r:id="rId30" name="ChkBx_RetNA">
          <controlPr defaultSize="0" autoLine="0" r:id="rId31">
            <anchor moveWithCells="1">
              <from>
                <xdr:col>1</xdr:col>
                <xdr:colOff>3390900</xdr:colOff>
                <xdr:row>51</xdr:row>
                <xdr:rowOff>19050</xdr:rowOff>
              </from>
              <to>
                <xdr:col>1</xdr:col>
                <xdr:colOff>4657725</xdr:colOff>
                <xdr:row>52</xdr:row>
                <xdr:rowOff>19050</xdr:rowOff>
              </to>
            </anchor>
          </controlPr>
        </control>
      </mc:Choice>
      <mc:Fallback>
        <control shapeId="1035" r:id="rId30" name="ChkBx_RetNA"/>
      </mc:Fallback>
    </mc:AlternateContent>
    <mc:AlternateContent>
      <mc:Choice Requires="x14">
        <control shapeId="1034" r:id="rId32" name="ChkBx_RetNOK">
          <controlPr defaultSize="0" autoLine="0" r:id="rId33">
            <anchor moveWithCells="1">
              <from>
                <xdr:col>1</xdr:col>
                <xdr:colOff>2752725</xdr:colOff>
                <xdr:row>51</xdr:row>
                <xdr:rowOff>28575</xdr:rowOff>
              </from>
              <to>
                <xdr:col>1</xdr:col>
                <xdr:colOff>3371850</xdr:colOff>
                <xdr:row>51</xdr:row>
                <xdr:rowOff>257175</xdr:rowOff>
              </to>
            </anchor>
          </controlPr>
        </control>
      </mc:Choice>
      <mc:Fallback>
        <control shapeId="1034" r:id="rId32" name="ChkBx_RetNOK"/>
      </mc:Fallback>
    </mc:AlternateContent>
    <mc:AlternateContent>
      <mc:Choice Requires="x14">
        <control shapeId="1033" r:id="rId34" name="ChkBx_RETok">
          <controlPr defaultSize="0" autoLine="0" r:id="rId35">
            <anchor moveWithCells="1">
              <from>
                <xdr:col>1</xdr:col>
                <xdr:colOff>2305050</xdr:colOff>
                <xdr:row>51</xdr:row>
                <xdr:rowOff>19050</xdr:rowOff>
              </from>
              <to>
                <xdr:col>1</xdr:col>
                <xdr:colOff>2733675</xdr:colOff>
                <xdr:row>51</xdr:row>
                <xdr:rowOff>247650</xdr:rowOff>
              </to>
            </anchor>
          </controlPr>
        </control>
      </mc:Choice>
      <mc:Fallback>
        <control shapeId="1033" r:id="rId34" name="ChkBx_RETok"/>
      </mc:Fallback>
    </mc:AlternateContent>
    <mc:AlternateContent>
      <mc:Choice Requires="x14">
        <control shapeId="1032" r:id="rId36" name="ChkBx_VSWRoutOfRange">
          <controlPr defaultSize="0" autoLine="0" r:id="rId37">
            <anchor moveWithCells="1">
              <from>
                <xdr:col>1</xdr:col>
                <xdr:colOff>3714750</xdr:colOff>
                <xdr:row>44</xdr:row>
                <xdr:rowOff>9525</xdr:rowOff>
              </from>
              <to>
                <xdr:col>1</xdr:col>
                <xdr:colOff>4648200</xdr:colOff>
                <xdr:row>44</xdr:row>
                <xdr:rowOff>209550</xdr:rowOff>
              </to>
            </anchor>
          </controlPr>
        </control>
      </mc:Choice>
      <mc:Fallback>
        <control shapeId="1032" r:id="rId36" name="ChkBx_VSWRoutOfRange"/>
      </mc:Fallback>
    </mc:AlternateContent>
    <mc:AlternateContent>
      <mc:Choice Requires="x14">
        <control shapeId="1031" r:id="rId38" name="ChkBx_VSWRinRange">
          <controlPr defaultSize="0" autoLine="0" r:id="rId39">
            <anchor moveWithCells="1">
              <from>
                <xdr:col>1</xdr:col>
                <xdr:colOff>2895600</xdr:colOff>
                <xdr:row>44</xdr:row>
                <xdr:rowOff>9525</xdr:rowOff>
              </from>
              <to>
                <xdr:col>1</xdr:col>
                <xdr:colOff>3619500</xdr:colOff>
                <xdr:row>45</xdr:row>
                <xdr:rowOff>9525</xdr:rowOff>
              </to>
            </anchor>
          </controlPr>
        </control>
      </mc:Choice>
      <mc:Fallback>
        <control shapeId="1031" r:id="rId38" name="ChkBx_VSWRinRange"/>
      </mc:Fallback>
    </mc:AlternateContent>
    <mc:AlternateContent>
      <mc:Choice Requires="x14">
        <control shapeId="1030" r:id="rId40" name="ChkBx_RSSIoutofRange">
          <controlPr defaultSize="0" autoLine="0" r:id="rId41">
            <anchor moveWithCells="1">
              <from>
                <xdr:col>1</xdr:col>
                <xdr:colOff>3590925</xdr:colOff>
                <xdr:row>38</xdr:row>
                <xdr:rowOff>28575</xdr:rowOff>
              </from>
              <to>
                <xdr:col>1</xdr:col>
                <xdr:colOff>4524375</xdr:colOff>
                <xdr:row>38</xdr:row>
                <xdr:rowOff>228600</xdr:rowOff>
              </to>
            </anchor>
          </controlPr>
        </control>
      </mc:Choice>
      <mc:Fallback>
        <control shapeId="1030" r:id="rId40" name="ChkBx_RSSIoutofRange"/>
      </mc:Fallback>
    </mc:AlternateContent>
    <mc:AlternateContent>
      <mc:Choice Requires="x14">
        <control shapeId="1029" r:id="rId42" name="ChkBx_RSSIinRange">
          <controlPr defaultSize="0" autoLine="0" r:id="rId43">
            <anchor moveWithCells="1">
              <from>
                <xdr:col>1</xdr:col>
                <xdr:colOff>2752725</xdr:colOff>
                <xdr:row>38</xdr:row>
                <xdr:rowOff>19050</xdr:rowOff>
              </from>
              <to>
                <xdr:col>1</xdr:col>
                <xdr:colOff>3457575</xdr:colOff>
                <xdr:row>38</xdr:row>
                <xdr:rowOff>238125</xdr:rowOff>
              </to>
            </anchor>
          </controlPr>
        </control>
      </mc:Choice>
      <mc:Fallback>
        <control shapeId="1029" r:id="rId42" name="ChkBx_RSSIinRange"/>
      </mc:Fallback>
    </mc:AlternateContent>
    <mc:AlternateContent>
      <mc:Choice Requires="x14">
        <control shapeId="1028" r:id="rId44" name="ChkBx_AlarmsNo">
          <controlPr defaultSize="0" autoLine="0" r:id="rId45">
            <anchor moveWithCells="1">
              <from>
                <xdr:col>1</xdr:col>
                <xdr:colOff>4124325</xdr:colOff>
                <xdr:row>35</xdr:row>
                <xdr:rowOff>9525</xdr:rowOff>
              </from>
              <to>
                <xdr:col>1</xdr:col>
                <xdr:colOff>4514850</xdr:colOff>
                <xdr:row>35</xdr:row>
                <xdr:rowOff>200025</xdr:rowOff>
              </to>
            </anchor>
          </controlPr>
        </control>
      </mc:Choice>
      <mc:Fallback>
        <control shapeId="1028" r:id="rId44" name="ChkBx_AlarmsNo"/>
      </mc:Fallback>
    </mc:AlternateContent>
    <mc:AlternateContent>
      <mc:Choice Requires="x14">
        <control shapeId="1027" r:id="rId46" name="ChkBx_AlarmsYes">
          <controlPr defaultSize="0" autoLine="0" r:id="rId47">
            <anchor moveWithCells="1">
              <from>
                <xdr:col>1</xdr:col>
                <xdr:colOff>3676650</xdr:colOff>
                <xdr:row>35</xdr:row>
                <xdr:rowOff>19050</xdr:rowOff>
              </from>
              <to>
                <xdr:col>1</xdr:col>
                <xdr:colOff>4181475</xdr:colOff>
                <xdr:row>35</xdr:row>
                <xdr:rowOff>180975</xdr:rowOff>
              </to>
            </anchor>
          </controlPr>
        </control>
      </mc:Choice>
      <mc:Fallback>
        <control shapeId="1027" r:id="rId46" name="ChkBx_AlarmsYes"/>
      </mc:Fallback>
    </mc:AlternateContent>
    <mc:AlternateContent>
      <mc:Choice Requires="x14">
        <control shapeId="1026" r:id="rId48" name="ChkBx_CellStatus_NOK">
          <controlPr defaultSize="0" autoLine="0" r:id="rId49">
            <anchor moveWithCells="1">
              <from>
                <xdr:col>1</xdr:col>
                <xdr:colOff>3886200</xdr:colOff>
                <xdr:row>29</xdr:row>
                <xdr:rowOff>38100</xdr:rowOff>
              </from>
              <to>
                <xdr:col>1</xdr:col>
                <xdr:colOff>4543425</xdr:colOff>
                <xdr:row>29</xdr:row>
                <xdr:rowOff>209550</xdr:rowOff>
              </to>
            </anchor>
          </controlPr>
        </control>
      </mc:Choice>
      <mc:Fallback>
        <control shapeId="1026" r:id="rId48" name="ChkBx_CellStatus_NOK"/>
      </mc:Fallback>
    </mc:AlternateContent>
    <mc:AlternateContent>
      <mc:Choice Requires="x14">
        <control shapeId="1025" r:id="rId50" name="ChkBx_CellStatus_OK">
          <controlPr defaultSize="0" autoLine="0" r:id="rId51">
            <anchor moveWithCells="1">
              <from>
                <xdr:col>1</xdr:col>
                <xdr:colOff>3457575</xdr:colOff>
                <xdr:row>29</xdr:row>
                <xdr:rowOff>28575</xdr:rowOff>
              </from>
              <to>
                <xdr:col>1</xdr:col>
                <xdr:colOff>3848100</xdr:colOff>
                <xdr:row>29</xdr:row>
                <xdr:rowOff>219075</xdr:rowOff>
              </to>
            </anchor>
          </controlPr>
        </control>
      </mc:Choice>
      <mc:Fallback>
        <control shapeId="1025" r:id="rId50" name="ChkBx_CellStatus_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"/>
  <sheetViews>
    <sheetView workbookViewId="0">
      <selection activeCell="E13" sqref="E13"/>
    </sheetView>
  </sheetViews>
  <sheetFormatPr defaultRowHeight="15" x14ac:dyDescent="0.25"/>
  <cols>
    <col min="1" max="1" customWidth="true" width="12.28515625" collapsed="true"/>
    <col min="2" max="2" customWidth="true" width="14.28515625" collapsed="true"/>
    <col min="3" max="3" customWidth="true" width="21.140625" collapsed="true"/>
    <col min="4" max="4" customWidth="true" width="16.42578125" collapsed="true"/>
    <col min="5" max="5" bestFit="true" customWidth="true" width="18.42578125" collapsed="true"/>
    <col min="6" max="6" bestFit="true" customWidth="true" width="10.7109375" collapsed="true"/>
    <col min="8" max="8" customWidth="true" width="15.7109375" collapsed="true"/>
  </cols>
  <sheetData>
    <row r="1" spans="1:8" x14ac:dyDescent="0.25">
      <c r="A1" s="40" t="s">
        <v>74</v>
      </c>
      <c r="B1" s="40" t="s">
        <v>75</v>
      </c>
      <c r="C1" s="40" t="s">
        <v>76</v>
      </c>
      <c r="D1" s="40" t="s">
        <v>77</v>
      </c>
      <c r="E1" s="40" t="s">
        <v>72</v>
      </c>
      <c r="F1" s="40" t="s">
        <v>73</v>
      </c>
      <c r="G1" s="40" t="s">
        <v>78</v>
      </c>
      <c r="H1" s="40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COD_REV_J</vt:lpstr>
      <vt:lpstr>Summary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2014-05-27T21:33:39Z</dcterms:created>
  <dc:creator>Florentino Gutierrez</dc:creator>
  <lastModifiedBy>Administrator</lastModifiedBy>
  <dcterms:modified xsi:type="dcterms:W3CDTF">2015-01-16T07:19:18Z</dcterms:modified>
</coreProperties>
</file>